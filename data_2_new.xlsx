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Диапазоны" sheetId="1" state="visible" r:id="rId3"/>
    <sheet name="ШУ" sheetId="2" state="visible" r:id="rId4"/>
    <sheet name="ШУН" sheetId="3" state="visible" r:id="rId5"/>
    <sheet name="ШУН_НС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<sst xmlns="http://schemas.openxmlformats.org/spreadsheetml/2006/main" count="454" uniqueCount="208">
  <si>
    <t xml:space="preserve">Без ПЧ</t>
  </si>
  <si>
    <t xml:space="preserve">с ПЧ</t>
  </si>
  <si>
    <t xml:space="preserve">нижняя граница</t>
  </si>
  <si>
    <t xml:space="preserve">тип</t>
  </si>
  <si>
    <t xml:space="preserve">номинал</t>
  </si>
  <si>
    <t xml:space="preserve">0,4-0,63 А</t>
  </si>
  <si>
    <t xml:space="preserve">0,75 кВт</t>
  </si>
  <si>
    <t xml:space="preserve">0,63-1 А</t>
  </si>
  <si>
    <t xml:space="preserve">1,5 кВт</t>
  </si>
  <si>
    <t xml:space="preserve">1-1,6 А</t>
  </si>
  <si>
    <t xml:space="preserve">2,2 кВт</t>
  </si>
  <si>
    <t xml:space="preserve">1,6-2,5 А</t>
  </si>
  <si>
    <t xml:space="preserve">4 кВт</t>
  </si>
  <si>
    <t xml:space="preserve">2,5-4 А</t>
  </si>
  <si>
    <t xml:space="preserve">5,5 кВт</t>
  </si>
  <si>
    <t xml:space="preserve">4-6,3 А</t>
  </si>
  <si>
    <t xml:space="preserve">7,5 кВт</t>
  </si>
  <si>
    <t xml:space="preserve">6-10 А</t>
  </si>
  <si>
    <t xml:space="preserve">11 кВт</t>
  </si>
  <si>
    <t xml:space="preserve">9-14 А</t>
  </si>
  <si>
    <t xml:space="preserve">15 кВт</t>
  </si>
  <si>
    <t xml:space="preserve">13-18 А</t>
  </si>
  <si>
    <t xml:space="preserve">18,5 кВт</t>
  </si>
  <si>
    <t xml:space="preserve">17-23 А</t>
  </si>
  <si>
    <t xml:space="preserve">22 кВт</t>
  </si>
  <si>
    <t xml:space="preserve">20-25 А</t>
  </si>
  <si>
    <t xml:space="preserve">не подходит</t>
  </si>
  <si>
    <t xml:space="preserve">24-32 А</t>
  </si>
  <si>
    <t xml:space="preserve">25-40 А</t>
  </si>
  <si>
    <t xml:space="preserve">40-63 А</t>
  </si>
  <si>
    <t xml:space="preserve">56-80 А</t>
  </si>
  <si>
    <t xml:space="preserve">Код</t>
  </si>
  <si>
    <t xml:space="preserve">Цена</t>
  </si>
  <si>
    <t xml:space="preserve">Контур1</t>
  </si>
  <si>
    <t xml:space="preserve">Контур2</t>
  </si>
  <si>
    <t xml:space="preserve">ММ</t>
  </si>
  <si>
    <t xml:space="preserve">БТП</t>
  </si>
  <si>
    <t xml:space="preserve">Привод 1</t>
  </si>
  <si>
    <t xml:space="preserve">Привод 2</t>
  </si>
  <si>
    <t xml:space="preserve">Номер следующей версии</t>
  </si>
  <si>
    <t xml:space="preserve">Прайс в КП</t>
  </si>
  <si>
    <t xml:space="preserve">Описание</t>
  </si>
  <si>
    <t xml:space="preserve">Действителен до</t>
  </si>
  <si>
    <t xml:space="preserve">Вводной автомат</t>
  </si>
  <si>
    <t xml:space="preserve">BST0105260001</t>
  </si>
  <si>
    <t xml:space="preserve">СО</t>
  </si>
  <si>
    <t xml:space="preserve">ГВС</t>
  </si>
  <si>
    <t xml:space="preserve">Трёхпозиционный 230В</t>
  </si>
  <si>
    <t xml:space="preserve">Актуальный</t>
  </si>
  <si>
    <t xml:space="preserve">2 РК и задание на ШУНы + Cloud Control</t>
  </si>
  <si>
    <t xml:space="preserve">C10</t>
  </si>
  <si>
    <t xml:space="preserve">BST0105260002</t>
  </si>
  <si>
    <t xml:space="preserve">1 РК и задание на ШУНы + Cloud Control</t>
  </si>
  <si>
    <t xml:space="preserve">BST0105260003</t>
  </si>
  <si>
    <t xml:space="preserve">BST0105260004</t>
  </si>
  <si>
    <t xml:space="preserve">пока не будем использовать</t>
  </si>
  <si>
    <t xml:space="preserve">СО*</t>
  </si>
  <si>
    <t xml:space="preserve">BST0105260101</t>
  </si>
  <si>
    <t xml:space="preserve">2 РК и задание на ШУНы + Cloud Control + ММ</t>
  </si>
  <si>
    <t xml:space="preserve">BST0105260102</t>
  </si>
  <si>
    <t xml:space="preserve">1 РК и задание на ШУНы + Cloud Control + ММ</t>
  </si>
  <si>
    <t xml:space="preserve">BST0105260103</t>
  </si>
  <si>
    <t xml:space="preserve">BST0105260104</t>
  </si>
  <si>
    <t xml:space="preserve">BST0105260201</t>
  </si>
  <si>
    <t xml:space="preserve">2 РК и задание на ШУНы</t>
  </si>
  <si>
    <t xml:space="preserve">BST0105260202</t>
  </si>
  <si>
    <t xml:space="preserve">BST0105260203</t>
  </si>
  <si>
    <t xml:space="preserve">ПЧ</t>
  </si>
  <si>
    <t xml:space="preserve">Напряжение</t>
  </si>
  <si>
    <t xml:space="preserve">Насосы</t>
  </si>
  <si>
    <t xml:space="preserve">Диапазон</t>
  </si>
  <si>
    <t xml:space="preserve">BST0105261201</t>
  </si>
  <si>
    <t xml:space="preserve">1x230 В</t>
  </si>
  <si>
    <t xml:space="preserve">230В, до 0,1 кВт</t>
  </si>
  <si>
    <t xml:space="preserve">BST0105261202</t>
  </si>
  <si>
    <t xml:space="preserve">230В, до 0,18 кВт</t>
  </si>
  <si>
    <t xml:space="preserve">BST0105261203</t>
  </si>
  <si>
    <t xml:space="preserve">230В, до 0,25 кВт</t>
  </si>
  <si>
    <t xml:space="preserve">BST0105261204</t>
  </si>
  <si>
    <t xml:space="preserve">230В, до 0,55 кВт</t>
  </si>
  <si>
    <t xml:space="preserve">BST0105261205</t>
  </si>
  <si>
    <t xml:space="preserve">230В, до 1 кВт</t>
  </si>
  <si>
    <t xml:space="preserve">BST0105261206</t>
  </si>
  <si>
    <t xml:space="preserve">230В, до 1,5 кВт</t>
  </si>
  <si>
    <t xml:space="preserve">BST0105261207</t>
  </si>
  <si>
    <t xml:space="preserve">230В, до 2,5 кВт</t>
  </si>
  <si>
    <t xml:space="preserve">BST0105261208</t>
  </si>
  <si>
    <t xml:space="preserve">230В, до 4 кВт</t>
  </si>
  <si>
    <t xml:space="preserve">BST0105261209</t>
  </si>
  <si>
    <t xml:space="preserve">230В, до 5 кВт</t>
  </si>
  <si>
    <t xml:space="preserve">BST0105261210</t>
  </si>
  <si>
    <t xml:space="preserve">230В, до 6 кВт</t>
  </si>
  <si>
    <t xml:space="preserve">BST0105261211</t>
  </si>
  <si>
    <t xml:space="preserve">230В, до 7 кВт</t>
  </si>
  <si>
    <t xml:space="preserve">BST0105261212</t>
  </si>
  <si>
    <t xml:space="preserve">230В, до 9 кВт</t>
  </si>
  <si>
    <t xml:space="preserve">BST0105261213</t>
  </si>
  <si>
    <t xml:space="preserve">не загружена</t>
  </si>
  <si>
    <t xml:space="preserve">230В, до 11 кВт</t>
  </si>
  <si>
    <t xml:space="preserve">BST0105261214</t>
  </si>
  <si>
    <t xml:space="preserve">230В, до 19 кВт</t>
  </si>
  <si>
    <t xml:space="preserve">BST0105261215</t>
  </si>
  <si>
    <t xml:space="preserve">230В, до 25 кВт</t>
  </si>
  <si>
    <t xml:space="preserve">BST0105261216</t>
  </si>
  <si>
    <t xml:space="preserve">BST0105261217</t>
  </si>
  <si>
    <t xml:space="preserve">BST0105262201</t>
  </si>
  <si>
    <t xml:space="preserve">3x400 В</t>
  </si>
  <si>
    <t xml:space="preserve">380В, до 0,1 кВт</t>
  </si>
  <si>
    <t xml:space="preserve">BST0105262202</t>
  </si>
  <si>
    <t xml:space="preserve">380В, до 0,18 кВт</t>
  </si>
  <si>
    <t xml:space="preserve">BST0105262203</t>
  </si>
  <si>
    <t xml:space="preserve">380В, до 0,25 кВт</t>
  </si>
  <si>
    <t xml:space="preserve">BST0105262204</t>
  </si>
  <si>
    <t xml:space="preserve">380В, до 0,55 кВт</t>
  </si>
  <si>
    <t xml:space="preserve">BST0105262205</t>
  </si>
  <si>
    <t xml:space="preserve">380В, до 1 кВт</t>
  </si>
  <si>
    <t xml:space="preserve">BST0105262206</t>
  </si>
  <si>
    <t xml:space="preserve">380В, до 1,5 кВт</t>
  </si>
  <si>
    <t xml:space="preserve">BST0105262207</t>
  </si>
  <si>
    <t xml:space="preserve">380В, до 2,5 кВт</t>
  </si>
  <si>
    <t xml:space="preserve">BST0105262208</t>
  </si>
  <si>
    <t xml:space="preserve">380В, до 4 кВт</t>
  </si>
  <si>
    <t xml:space="preserve">BST0105262209</t>
  </si>
  <si>
    <t xml:space="preserve">380В, до 5 кВт</t>
  </si>
  <si>
    <t xml:space="preserve">BST0105262210</t>
  </si>
  <si>
    <t xml:space="preserve">380В, до 6 кВт</t>
  </si>
  <si>
    <t xml:space="preserve">BST0105262211</t>
  </si>
  <si>
    <t xml:space="preserve">380В, до 7 кВт</t>
  </si>
  <si>
    <t xml:space="preserve">BST0105262212</t>
  </si>
  <si>
    <t xml:space="preserve">380В, до 9 кВт</t>
  </si>
  <si>
    <t xml:space="preserve">BST0105262213</t>
  </si>
  <si>
    <t xml:space="preserve">380В, до 11 кВт</t>
  </si>
  <si>
    <t xml:space="preserve">BST0105262214</t>
  </si>
  <si>
    <t xml:space="preserve">380В, до 19 кВт</t>
  </si>
  <si>
    <t xml:space="preserve">BST0105262215</t>
  </si>
  <si>
    <t xml:space="preserve">380В, до 25 кВт</t>
  </si>
  <si>
    <t xml:space="preserve">BST0105262216</t>
  </si>
  <si>
    <t xml:space="preserve">BST0105262217</t>
  </si>
  <si>
    <t xml:space="preserve">BST0105263201</t>
  </si>
  <si>
    <t xml:space="preserve">380В, до 0,75 кВт с ПЧ</t>
  </si>
  <si>
    <t xml:space="preserve">BST0105263202</t>
  </si>
  <si>
    <t xml:space="preserve">380В, до 1,5 кВт с ПЧ</t>
  </si>
  <si>
    <t xml:space="preserve">BST0105263203</t>
  </si>
  <si>
    <t xml:space="preserve">380В, до 2,2 кВт с ПЧ</t>
  </si>
  <si>
    <t xml:space="preserve">BST0105263204</t>
  </si>
  <si>
    <t xml:space="preserve">380В, до 4 кВт с ПЧ</t>
  </si>
  <si>
    <t xml:space="preserve">BST0105263205</t>
  </si>
  <si>
    <t xml:space="preserve">380В, до 5,5 кВт с ПЧ</t>
  </si>
  <si>
    <t xml:space="preserve">BST0105263206</t>
  </si>
  <si>
    <t xml:space="preserve">380В, до 7,5 кВт с ПЧ</t>
  </si>
  <si>
    <t xml:space="preserve">BST0105263207</t>
  </si>
  <si>
    <t xml:space="preserve">380В, до 11 кВт с ПЧ</t>
  </si>
  <si>
    <t xml:space="preserve">BST0105263208</t>
  </si>
  <si>
    <t xml:space="preserve">380В, до 15 кВт с ПЧ</t>
  </si>
  <si>
    <t xml:space="preserve">BST0105263209</t>
  </si>
  <si>
    <t xml:space="preserve">380В, до 18,5 кВт с ПЧ</t>
  </si>
  <si>
    <t xml:space="preserve">BST0105263210</t>
  </si>
  <si>
    <t xml:space="preserve">380В, до 22 кВт с ПЧ</t>
  </si>
  <si>
    <t xml:space="preserve">BAST0702250010</t>
  </si>
  <si>
    <t xml:space="preserve">BAST0702250011</t>
  </si>
  <si>
    <t xml:space="preserve">BAST0702250012</t>
  </si>
  <si>
    <t xml:space="preserve">BAST0506230016</t>
  </si>
  <si>
    <t xml:space="preserve">BAST0506230017</t>
  </si>
  <si>
    <t xml:space="preserve">BAST0506230018</t>
  </si>
  <si>
    <t xml:space="preserve">BST1609244105</t>
  </si>
  <si>
    <t xml:space="preserve">BST1609242041</t>
  </si>
  <si>
    <t xml:space="preserve">BAST0912240021</t>
  </si>
  <si>
    <t xml:space="preserve">BAST0912240022</t>
  </si>
  <si>
    <t xml:space="preserve">BAST0204250001</t>
  </si>
  <si>
    <t xml:space="preserve">3Н 380В до 0,75 кВт с ПЧ</t>
  </si>
  <si>
    <t xml:space="preserve">BAST0204250002</t>
  </si>
  <si>
    <t xml:space="preserve">3Н 380В до 1,5 кВт с ПЧ</t>
  </si>
  <si>
    <t xml:space="preserve">BAST0204250003</t>
  </si>
  <si>
    <t xml:space="preserve">3Н 380В до 2,2 кВт с ПЧ</t>
  </si>
  <si>
    <t xml:space="preserve">BAST0506230034</t>
  </si>
  <si>
    <t xml:space="preserve">3Н 380В до 4 кВт с ПЧ</t>
  </si>
  <si>
    <t xml:space="preserve">BAST0506230035</t>
  </si>
  <si>
    <t xml:space="preserve">3Н 380В до 5,5 кВт с ПЧ</t>
  </si>
  <si>
    <t xml:space="preserve">BAST0506230036</t>
  </si>
  <si>
    <t xml:space="preserve">3Н 380В до 7,5 кВт с ПЧ</t>
  </si>
  <si>
    <t xml:space="preserve">BST1609249211</t>
  </si>
  <si>
    <t xml:space="preserve">3Н 380В до 11 кВт с ПЧ</t>
  </si>
  <si>
    <t xml:space="preserve">BST1609247596</t>
  </si>
  <si>
    <t xml:space="preserve">3Н 380В до 15 кВт с ПЧ</t>
  </si>
  <si>
    <t xml:space="preserve">BAST0912240039</t>
  </si>
  <si>
    <t xml:space="preserve">3Н 380В до 18,5 кВт с ПЧ</t>
  </si>
  <si>
    <t xml:space="preserve">BAST0912240040</t>
  </si>
  <si>
    <t xml:space="preserve">3Н 380В до 22 кВт с ПЧ</t>
  </si>
  <si>
    <t xml:space="preserve">BAST0912240041</t>
  </si>
  <si>
    <t xml:space="preserve">4Н 380В до 0,75 кВт с ПЧ</t>
  </si>
  <si>
    <t xml:space="preserve">BAST0912240042</t>
  </si>
  <si>
    <t xml:space="preserve">4Н 380В до 1,5 кВт с ПЧ</t>
  </si>
  <si>
    <t xml:space="preserve">BAST0912240043</t>
  </si>
  <si>
    <t xml:space="preserve">4Н 380В до 2,2 кВт с ПЧ</t>
  </si>
  <si>
    <t xml:space="preserve">BAST0912240044</t>
  </si>
  <si>
    <t xml:space="preserve">4Н 380В до 4 кВт с ПЧ</t>
  </si>
  <si>
    <t xml:space="preserve">BAST0912240045</t>
  </si>
  <si>
    <t xml:space="preserve">4Н 380В до 5,5 кВт с ПЧ</t>
  </si>
  <si>
    <t xml:space="preserve">BAST0912240054</t>
  </si>
  <si>
    <t xml:space="preserve">4Н 380В до 7,5 кВт с ПЧ</t>
  </si>
  <si>
    <t xml:space="preserve">BAST0912240055</t>
  </si>
  <si>
    <t xml:space="preserve">4Н 380В до 11 кВт с ПЧ</t>
  </si>
  <si>
    <t xml:space="preserve">BAST0912240056</t>
  </si>
  <si>
    <t xml:space="preserve">4Н 380В до 15 кВт с ПЧ</t>
  </si>
  <si>
    <t xml:space="preserve">BAST0912240057</t>
  </si>
  <si>
    <t xml:space="preserve">4Н 380В до 18,5 кВт с ПЧ</t>
  </si>
  <si>
    <t xml:space="preserve">BAST0912240058</t>
  </si>
  <si>
    <t xml:space="preserve">4Н 380В до 22 кВт с ПЧ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</si>
</sst>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dd/mm/yy"/>
  </numFmts>
  <fonts count="6">
    <font>
      <sz val="10"/>
      <color rgb="FF00000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2"/>
      <charset val="204"/>
    </font>
    <font>
      <sz val="10"/>
      <color rgb="FF000000"/>
      <name val="Times New Roman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3" activeCellId="0" sqref="G3"/>
    </sheetView>
  </sheetViews>
  <sheetFormatPr defaultColWidth="8.65234375" defaultRowHeight="13.2" customHeight="false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14.16"/>
    <col collapsed="false" customWidth="true" hidden="false" outlineLevel="0" max="3" min="3" style="1" width="13.08"/>
    <col collapsed="false" customWidth="true" hidden="false" outlineLevel="0" max="4" min="4" style="1" width="11.57"/>
    <col collapsed="false" customWidth="true" hidden="false" outlineLevel="0" max="5" min="5" style="1" width="16.22"/>
    <col collapsed="false" customWidth="true" hidden="false" outlineLevel="0" max="7" min="6" style="1" width="11.57"/>
    <col collapsed="false" customWidth="false" hidden="false" outlineLevel="0" max="16384" min="8" style="1" width="8.65"/>
  </cols>
  <sheetData>
    <row r="1" customFormat="false" ht="13.2" hidden="false" customHeight="false" outlineLevel="0" collapsed="false">
      <c r="A1" s="1" t="s">
        <v>0</v>
      </c>
      <c r="E1" s="1" t="s">
        <v>1</v>
      </c>
    </row>
    <row r="2" customFormat="false" ht="13.2" hidden="false" customHeight="false" outlineLevel="0" collapsed="false">
      <c r="A2" s="2" t="s">
        <v>2</v>
      </c>
      <c r="B2" s="2" t="s">
        <v>3</v>
      </c>
      <c r="C2" s="2" t="s">
        <v>4</v>
      </c>
      <c r="E2" s="2" t="s">
        <v>2</v>
      </c>
      <c r="F2" s="2" t="s">
        <v>3</v>
      </c>
      <c r="G2" s="2" t="s">
        <v>4</v>
      </c>
    </row>
    <row r="3" customFormat="false" ht="13.2" hidden="false" customHeight="false" outlineLevel="0" collapsed="false">
      <c r="A3" s="3" t="n">
        <v>0.4</v>
      </c>
      <c r="B3" s="3" t="n">
        <v>1</v>
      </c>
      <c r="C3" s="3" t="s">
        <v>5</v>
      </c>
      <c r="E3" s="3" t="n">
        <v>0</v>
      </c>
      <c r="F3" s="3" t="n">
        <v>1</v>
      </c>
      <c r="G3" s="3" t="s">
        <v>6</v>
      </c>
    </row>
    <row r="4" customFormat="false" ht="13.2" hidden="false" customHeight="false" outlineLevel="0" collapsed="false">
      <c r="A4" s="3" t="n">
        <v>0.63</v>
      </c>
      <c r="B4" s="3" t="n">
        <v>2</v>
      </c>
      <c r="C4" s="3" t="s">
        <v>7</v>
      </c>
      <c r="E4" s="3" t="n">
        <v>0.76</v>
      </c>
      <c r="F4" s="3" t="n">
        <v>2</v>
      </c>
      <c r="G4" s="3" t="s">
        <v>8</v>
      </c>
    </row>
    <row r="5" customFormat="false" ht="13.2" hidden="false" customHeight="false" outlineLevel="0" collapsed="false">
      <c r="A5" s="3" t="n">
        <v>1</v>
      </c>
      <c r="B5" s="3" t="n">
        <v>3</v>
      </c>
      <c r="C5" s="3" t="s">
        <v>9</v>
      </c>
      <c r="E5" s="3" t="n">
        <v>1.51</v>
      </c>
      <c r="F5" s="3" t="n">
        <v>3</v>
      </c>
      <c r="G5" s="3" t="s">
        <v>10</v>
      </c>
    </row>
    <row r="6" customFormat="false" ht="13.2" hidden="false" customHeight="false" outlineLevel="0" collapsed="false">
      <c r="A6" s="3" t="n">
        <v>1.6</v>
      </c>
      <c r="B6" s="3" t="n">
        <v>4</v>
      </c>
      <c r="C6" s="3" t="s">
        <v>11</v>
      </c>
      <c r="E6" s="3" t="n">
        <v>2.21</v>
      </c>
      <c r="F6" s="3" t="n">
        <v>4</v>
      </c>
      <c r="G6" s="3" t="s">
        <v>12</v>
      </c>
    </row>
    <row r="7" customFormat="false" ht="13.2" hidden="false" customHeight="false" outlineLevel="0" collapsed="false">
      <c r="A7" s="3" t="n">
        <v>2.5</v>
      </c>
      <c r="B7" s="3" t="n">
        <v>5</v>
      </c>
      <c r="C7" s="3" t="s">
        <v>13</v>
      </c>
      <c r="E7" s="3" t="n">
        <v>4.01</v>
      </c>
      <c r="F7" s="3" t="n">
        <v>5</v>
      </c>
      <c r="G7" s="3" t="s">
        <v>14</v>
      </c>
    </row>
    <row r="8" customFormat="false" ht="13.2" hidden="false" customHeight="false" outlineLevel="0" collapsed="false">
      <c r="A8" s="3" t="n">
        <v>4</v>
      </c>
      <c r="B8" s="3" t="n">
        <v>6</v>
      </c>
      <c r="C8" s="4" t="s">
        <v>15</v>
      </c>
      <c r="E8" s="3" t="n">
        <v>5.51</v>
      </c>
      <c r="F8" s="3" t="n">
        <v>6</v>
      </c>
      <c r="G8" s="3" t="s">
        <v>16</v>
      </c>
    </row>
    <row r="9" customFormat="false" ht="13.2" hidden="false" customHeight="false" outlineLevel="0" collapsed="false">
      <c r="A9" s="3" t="n">
        <v>6</v>
      </c>
      <c r="B9" s="3" t="n">
        <v>7</v>
      </c>
      <c r="C9" s="3" t="s">
        <v>17</v>
      </c>
      <c r="E9" s="3" t="n">
        <v>7.51</v>
      </c>
      <c r="F9" s="3" t="n">
        <v>7</v>
      </c>
      <c r="G9" s="3" t="s">
        <v>18</v>
      </c>
    </row>
    <row r="10" customFormat="false" ht="13.2" hidden="false" customHeight="false" outlineLevel="0" collapsed="false">
      <c r="A10" s="3" t="n">
        <v>9</v>
      </c>
      <c r="B10" s="3" t="n">
        <v>8</v>
      </c>
      <c r="C10" s="3" t="s">
        <v>19</v>
      </c>
      <c r="E10" s="3" t="n">
        <v>11.01</v>
      </c>
      <c r="F10" s="3" t="n">
        <v>8</v>
      </c>
      <c r="G10" s="3" t="s">
        <v>20</v>
      </c>
    </row>
    <row r="11" customFormat="false" ht="13.2" hidden="false" customHeight="false" outlineLevel="0" collapsed="false">
      <c r="A11" s="3" t="n">
        <v>12</v>
      </c>
      <c r="B11" s="3" t="n">
        <v>9</v>
      </c>
      <c r="C11" s="3" t="s">
        <v>21</v>
      </c>
      <c r="E11" s="3" t="n">
        <v>15.01</v>
      </c>
      <c r="F11" s="3" t="n">
        <v>9</v>
      </c>
      <c r="G11" s="3" t="s">
        <v>22</v>
      </c>
    </row>
    <row r="12" customFormat="false" ht="13.2" hidden="false" customHeight="false" outlineLevel="0" collapsed="false">
      <c r="A12" s="3" t="n">
        <v>17</v>
      </c>
      <c r="B12" s="3" t="n">
        <v>10</v>
      </c>
      <c r="C12" s="3" t="s">
        <v>23</v>
      </c>
      <c r="E12" s="3" t="n">
        <v>18.51</v>
      </c>
      <c r="F12" s="3" t="n">
        <v>10</v>
      </c>
      <c r="G12" s="3" t="s">
        <v>24</v>
      </c>
    </row>
    <row r="13" customFormat="false" ht="13.2" hidden="false" customHeight="false" outlineLevel="0" collapsed="false">
      <c r="A13" s="3" t="n">
        <v>20</v>
      </c>
      <c r="B13" s="3" t="n">
        <v>11</v>
      </c>
      <c r="C13" s="4" t="s">
        <v>25</v>
      </c>
      <c r="E13" s="3" t="n">
        <v>22.01</v>
      </c>
      <c r="F13" s="3" t="n">
        <v>0</v>
      </c>
      <c r="G13" s="3" t="s">
        <v>26</v>
      </c>
    </row>
    <row r="14" customFormat="false" ht="13.2" hidden="false" customHeight="false" outlineLevel="0" collapsed="false">
      <c r="A14" s="3" t="n">
        <v>24</v>
      </c>
      <c r="B14" s="3" t="n">
        <v>12</v>
      </c>
      <c r="C14" s="3" t="s">
        <v>27</v>
      </c>
      <c r="E14" s="3"/>
    </row>
    <row r="15" customFormat="false" ht="13.2" hidden="false" customHeight="false" outlineLevel="0" collapsed="false">
      <c r="A15" s="3" t="n">
        <v>32</v>
      </c>
      <c r="B15" s="3" t="n">
        <v>13</v>
      </c>
      <c r="C15" s="3" t="s">
        <v>28</v>
      </c>
    </row>
    <row r="16" customFormat="false" ht="13.2" hidden="false" customHeight="false" outlineLevel="0" collapsed="false">
      <c r="A16" s="3" t="n">
        <v>40</v>
      </c>
      <c r="B16" s="3" t="n">
        <v>14</v>
      </c>
      <c r="C16" s="3" t="s">
        <v>29</v>
      </c>
    </row>
    <row r="17" customFormat="false" ht="13.2" hidden="false" customHeight="false" outlineLevel="0" collapsed="false">
      <c r="A17" s="3" t="n">
        <v>56</v>
      </c>
      <c r="B17" s="3" t="n">
        <v>15</v>
      </c>
      <c r="C17" s="3" t="s">
        <v>30</v>
      </c>
    </row>
    <row r="18" customFormat="false" ht="13.2" hidden="false" customHeight="false" outlineLevel="0" collapsed="false">
      <c r="A18" s="3" t="n">
        <v>80.01</v>
      </c>
      <c r="B18" s="3" t="n">
        <v>0</v>
      </c>
      <c r="C18" s="4" t="s">
        <v>26</v>
      </c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2" activeCellId="0" sqref="J2"/>
    </sheetView>
  </sheetViews>
  <sheetFormatPr defaultColWidth="8.65234375" defaultRowHeight="13.2" customHeight="false" zeroHeight="false" outlineLevelRow="0" outlineLevelCol="0"/>
  <cols>
    <col collapsed="false" customWidth="true" hidden="false" outlineLevel="0" max="1" min="1" style="1" width="18.38"/>
    <col collapsed="false" customWidth="true" hidden="false" outlineLevel="0" max="6" min="2" style="1" width="11.57"/>
    <col collapsed="false" customWidth="true" hidden="false" outlineLevel="0" max="7" min="7" style="1" width="21.3"/>
    <col collapsed="false" customWidth="true" hidden="false" outlineLevel="0" max="8" min="8" style="1" width="20"/>
    <col collapsed="false" customWidth="true" hidden="false" outlineLevel="0" max="9" min="9" style="1" width="23.46"/>
    <col collapsed="false" customWidth="true" hidden="false" outlineLevel="0" max="10" min="10" style="1" width="15.99"/>
    <col collapsed="false" customWidth="false" hidden="false" outlineLevel="0" max="16384" min="11" style="1" width="8.65"/>
  </cols>
  <sheetData>
    <row r="1" customFormat="false" ht="12.8" hidden="false" customHeight="false" outlineLevel="0" collapsed="false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5" t="s">
        <v>37</v>
      </c>
      <c r="H1" s="5" t="s">
        <v>38</v>
      </c>
      <c r="I1" s="2" t="s">
        <v>39</v>
      </c>
      <c r="J1" s="6" t="s">
        <v>40</v>
      </c>
      <c r="K1" s="1" t="s">
        <v>41</v>
      </c>
      <c r="L1" s="1" t="s">
        <v>42</v>
      </c>
      <c r="M1" s="1" t="s">
        <v>43</v>
      </c>
    </row>
    <row r="2" customFormat="false" ht="12.8" hidden="false" customHeight="false" outlineLevel="0" collapsed="false">
      <c r="A2" s="7" t="s">
        <v>44</v>
      </c>
      <c r="B2" s="8" t="n">
        <v>596</v>
      </c>
      <c r="C2" s="3" t="s">
        <v>45</v>
      </c>
      <c r="D2" s="3" t="s">
        <v>46</v>
      </c>
      <c r="E2" s="3" t="n">
        <v>0</v>
      </c>
      <c r="F2" s="3" t="n">
        <v>1</v>
      </c>
      <c r="G2" s="5" t="s">
        <v>47</v>
      </c>
      <c r="H2" s="5" t="s">
        <v>47</v>
      </c>
      <c r="I2" s="5" t="s">
        <v>48</v>
      </c>
      <c r="J2" s="1" t="n">
        <f aca="false">IFERROR(B2*3.12, "не загружена")</f>
        <v>1859.52</v>
      </c>
      <c r="K2" s="1" t="s">
        <v>49</v>
      </c>
      <c r="L2" s="9" t="n">
        <v>46372</v>
      </c>
      <c r="M2" s="1" t="s">
        <v>50</v>
      </c>
    </row>
    <row r="3" customFormat="false" ht="12.8" hidden="false" customHeight="false" outlineLevel="0" collapsed="false">
      <c r="A3" s="7" t="s">
        <v>51</v>
      </c>
      <c r="B3" s="8" t="n">
        <v>471.3</v>
      </c>
      <c r="C3" s="3" t="s">
        <v>45</v>
      </c>
      <c r="D3" s="3" t="n">
        <v>0</v>
      </c>
      <c r="E3" s="3" t="n">
        <v>0</v>
      </c>
      <c r="F3" s="3" t="n">
        <v>1</v>
      </c>
      <c r="G3" s="5" t="s">
        <v>47</v>
      </c>
      <c r="H3" s="5" t="s">
        <v>47</v>
      </c>
      <c r="I3" s="5" t="s">
        <v>48</v>
      </c>
      <c r="J3" s="1" t="n">
        <f aca="false">IFERROR(B3*3.12, "не загружена")</f>
        <v>1470.456</v>
      </c>
      <c r="K3" s="1" t="s">
        <v>52</v>
      </c>
      <c r="L3" s="9" t="n">
        <v>46372</v>
      </c>
      <c r="M3" s="1" t="s">
        <v>50</v>
      </c>
    </row>
    <row r="4" customFormat="false" ht="12.8" hidden="false" customHeight="false" outlineLevel="0" collapsed="false">
      <c r="A4" s="7" t="s">
        <v>53</v>
      </c>
      <c r="B4" s="8" t="n">
        <v>471.3</v>
      </c>
      <c r="C4" s="3" t="s">
        <v>46</v>
      </c>
      <c r="D4" s="3" t="n">
        <v>0</v>
      </c>
      <c r="E4" s="3" t="n">
        <v>0</v>
      </c>
      <c r="F4" s="3" t="n">
        <v>1</v>
      </c>
      <c r="G4" s="5" t="s">
        <v>47</v>
      </c>
      <c r="H4" s="5" t="s">
        <v>47</v>
      </c>
      <c r="I4" s="5" t="s">
        <v>48</v>
      </c>
      <c r="J4" s="1" t="n">
        <f aca="false">IFERROR(B4*3.12, "не загружена")</f>
        <v>1470.456</v>
      </c>
      <c r="K4" s="1" t="s">
        <v>52</v>
      </c>
      <c r="L4" s="9" t="n">
        <v>46372</v>
      </c>
      <c r="M4" s="1" t="s">
        <v>50</v>
      </c>
    </row>
    <row r="5" customFormat="false" ht="12.8" hidden="false" customHeight="false" outlineLevel="0" collapsed="false">
      <c r="A5" s="7" t="s">
        <v>54</v>
      </c>
      <c r="B5" s="8" t="s">
        <v>55</v>
      </c>
      <c r="C5" s="3" t="s">
        <v>45</v>
      </c>
      <c r="D5" s="3" t="s">
        <v>56</v>
      </c>
      <c r="E5" s="3" t="n">
        <v>0</v>
      </c>
      <c r="F5" s="3" t="n">
        <v>1</v>
      </c>
      <c r="G5" s="5" t="s">
        <v>47</v>
      </c>
      <c r="H5" s="5" t="s">
        <v>47</v>
      </c>
      <c r="I5" s="5" t="s">
        <v>48</v>
      </c>
      <c r="J5" s="1" t="str">
        <f aca="false">IFERROR(B5*3.12, "не загружена")</f>
        <v>не загружена</v>
      </c>
      <c r="K5" s="1" t="s">
        <v>49</v>
      </c>
      <c r="L5" s="9" t="n">
        <v>46372</v>
      </c>
      <c r="M5" s="1" t="s">
        <v>50</v>
      </c>
    </row>
    <row r="6" customFormat="false" ht="12.8" hidden="false" customHeight="false" outlineLevel="0" collapsed="false">
      <c r="A6" s="7" t="s">
        <v>57</v>
      </c>
      <c r="B6" s="8" t="n">
        <v>685</v>
      </c>
      <c r="C6" s="3" t="s">
        <v>45</v>
      </c>
      <c r="D6" s="3" t="s">
        <v>46</v>
      </c>
      <c r="E6" s="3" t="n">
        <v>1</v>
      </c>
      <c r="F6" s="3" t="n">
        <v>1</v>
      </c>
      <c r="G6" s="5" t="s">
        <v>47</v>
      </c>
      <c r="H6" s="5" t="s">
        <v>47</v>
      </c>
      <c r="I6" s="5" t="s">
        <v>48</v>
      </c>
      <c r="J6" s="1" t="n">
        <f aca="false">IFERROR(B6*3.12, "не загружена")</f>
        <v>2137.2</v>
      </c>
      <c r="K6" s="1" t="s">
        <v>58</v>
      </c>
      <c r="L6" s="9" t="n">
        <v>46372</v>
      </c>
      <c r="M6" s="1" t="s">
        <v>50</v>
      </c>
    </row>
    <row r="7" customFormat="false" ht="12.8" hidden="false" customHeight="false" outlineLevel="0" collapsed="false">
      <c r="A7" s="7" t="s">
        <v>59</v>
      </c>
      <c r="B7" s="10" t="n">
        <v>555.8</v>
      </c>
      <c r="C7" s="3" t="s">
        <v>45</v>
      </c>
      <c r="D7" s="3" t="n">
        <v>0</v>
      </c>
      <c r="E7" s="3" t="n">
        <v>1</v>
      </c>
      <c r="F7" s="3" t="n">
        <v>1</v>
      </c>
      <c r="G7" s="5" t="s">
        <v>47</v>
      </c>
      <c r="H7" s="5" t="s">
        <v>47</v>
      </c>
      <c r="I7" s="5" t="s">
        <v>48</v>
      </c>
      <c r="J7" s="1" t="n">
        <f aca="false">IFERROR(B7*3.12, "не загружена")</f>
        <v>1734.096</v>
      </c>
      <c r="K7" s="1" t="s">
        <v>60</v>
      </c>
      <c r="L7" s="9" t="n">
        <v>46372</v>
      </c>
      <c r="M7" s="1" t="s">
        <v>50</v>
      </c>
    </row>
    <row r="8" customFormat="false" ht="12.8" hidden="false" customHeight="false" outlineLevel="0" collapsed="false">
      <c r="A8" s="7" t="s">
        <v>61</v>
      </c>
      <c r="B8" s="10" t="n">
        <v>555.8</v>
      </c>
      <c r="C8" s="3" t="s">
        <v>46</v>
      </c>
      <c r="D8" s="3" t="n">
        <v>0</v>
      </c>
      <c r="E8" s="3" t="n">
        <v>1</v>
      </c>
      <c r="F8" s="3" t="n">
        <v>1</v>
      </c>
      <c r="G8" s="5" t="s">
        <v>47</v>
      </c>
      <c r="H8" s="5" t="s">
        <v>47</v>
      </c>
      <c r="I8" s="5" t="s">
        <v>48</v>
      </c>
      <c r="J8" s="1" t="n">
        <f aca="false">IFERROR(B8*3.12, "не загружена")</f>
        <v>1734.096</v>
      </c>
      <c r="K8" s="1" t="s">
        <v>60</v>
      </c>
      <c r="L8" s="9" t="n">
        <v>46372</v>
      </c>
      <c r="M8" s="1" t="s">
        <v>50</v>
      </c>
    </row>
    <row r="9" customFormat="false" ht="12.8" hidden="false" customHeight="false" outlineLevel="0" collapsed="false">
      <c r="A9" s="7" t="s">
        <v>62</v>
      </c>
      <c r="B9" s="8" t="s">
        <v>55</v>
      </c>
      <c r="C9" s="3" t="s">
        <v>45</v>
      </c>
      <c r="D9" s="3" t="s">
        <v>56</v>
      </c>
      <c r="E9" s="3" t="n">
        <v>1</v>
      </c>
      <c r="F9" s="3" t="n">
        <v>1</v>
      </c>
      <c r="G9" s="5" t="s">
        <v>47</v>
      </c>
      <c r="H9" s="5" t="s">
        <v>47</v>
      </c>
      <c r="I9" s="5" t="s">
        <v>48</v>
      </c>
      <c r="J9" s="1" t="str">
        <f aca="false">IFERROR(B9*3.12, "не загружена")</f>
        <v>не загружена</v>
      </c>
      <c r="K9" s="1" t="s">
        <v>58</v>
      </c>
      <c r="L9" s="9" t="n">
        <v>46372</v>
      </c>
      <c r="M9" s="1" t="s">
        <v>50</v>
      </c>
    </row>
    <row r="10" customFormat="false" ht="12.8" hidden="false" customHeight="false" outlineLevel="0" collapsed="false">
      <c r="A10" s="7" t="s">
        <v>63</v>
      </c>
      <c r="B10" s="8" t="n">
        <v>427.3</v>
      </c>
      <c r="C10" s="3" t="s">
        <v>45</v>
      </c>
      <c r="D10" s="3" t="s">
        <v>46</v>
      </c>
      <c r="E10" s="3" t="n">
        <v>0</v>
      </c>
      <c r="F10" s="3" t="n">
        <v>0</v>
      </c>
      <c r="G10" s="5" t="s">
        <v>47</v>
      </c>
      <c r="H10" s="5" t="s">
        <v>47</v>
      </c>
      <c r="I10" s="5" t="s">
        <v>48</v>
      </c>
      <c r="J10" s="1" t="n">
        <f aca="false">IFERROR(B10*3.12, "не загружена")</f>
        <v>1333.176</v>
      </c>
      <c r="K10" s="1" t="s">
        <v>64</v>
      </c>
      <c r="L10" s="9" t="n">
        <v>46372</v>
      </c>
      <c r="M10" s="1" t="s">
        <v>50</v>
      </c>
    </row>
    <row r="11" customFormat="false" ht="12.8" hidden="false" customHeight="false" outlineLevel="0" collapsed="false">
      <c r="A11" s="7" t="s">
        <v>65</v>
      </c>
      <c r="B11" s="8" t="n">
        <v>284.6</v>
      </c>
      <c r="C11" s="3" t="s">
        <v>45</v>
      </c>
      <c r="D11" s="3" t="n">
        <v>0</v>
      </c>
      <c r="E11" s="3" t="n">
        <v>0</v>
      </c>
      <c r="F11" s="3" t="n">
        <v>0</v>
      </c>
      <c r="G11" s="5" t="s">
        <v>47</v>
      </c>
      <c r="H11" s="5" t="s">
        <v>47</v>
      </c>
      <c r="I11" s="5" t="s">
        <v>48</v>
      </c>
      <c r="J11" s="1" t="n">
        <f aca="false">IFERROR(B11*3.12, "не загружена")</f>
        <v>887.952</v>
      </c>
      <c r="K11" s="1" t="s">
        <v>64</v>
      </c>
      <c r="L11" s="9" t="n">
        <v>46372</v>
      </c>
      <c r="M11" s="1" t="s">
        <v>50</v>
      </c>
    </row>
    <row r="12" customFormat="false" ht="12.8" hidden="false" customHeight="false" outlineLevel="0" collapsed="false">
      <c r="A12" s="7" t="s">
        <v>66</v>
      </c>
      <c r="B12" s="8" t="n">
        <v>284.6</v>
      </c>
      <c r="C12" s="3" t="s">
        <v>46</v>
      </c>
      <c r="D12" s="3" t="n">
        <v>0</v>
      </c>
      <c r="E12" s="3" t="n">
        <v>0</v>
      </c>
      <c r="F12" s="3" t="n">
        <v>0</v>
      </c>
      <c r="G12" s="5" t="s">
        <v>47</v>
      </c>
      <c r="H12" s="5" t="s">
        <v>47</v>
      </c>
      <c r="I12" s="5" t="s">
        <v>48</v>
      </c>
      <c r="J12" s="1" t="n">
        <f aca="false">IFERROR(B12*3.12, "не загружена")</f>
        <v>887.952</v>
      </c>
      <c r="K12" s="1" t="s">
        <v>64</v>
      </c>
      <c r="L12" s="9" t="n">
        <v>46372</v>
      </c>
      <c r="M12" s="1" t="s">
        <v>50</v>
      </c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K1" activeCellId="0" sqref="K1"/>
    </sheetView>
  </sheetViews>
  <sheetFormatPr defaultColWidth="8.65234375" defaultRowHeight="13.2" customHeight="false" zeroHeight="false" outlineLevelRow="0" outlineLevelCol="0"/>
  <cols>
    <col collapsed="false" customWidth="true" hidden="false" outlineLevel="0" max="1" min="1" style="1" width="24.76"/>
    <col collapsed="false" customWidth="true" hidden="false" outlineLevel="0" max="2" min="2" style="1" width="13.62"/>
    <col collapsed="false" customWidth="true" hidden="false" outlineLevel="0" max="6" min="3" style="1" width="11.57"/>
    <col collapsed="false" customWidth="true" hidden="false" outlineLevel="0" max="7" min="7" style="1" width="15"/>
    <col collapsed="false" customWidth="true" hidden="false" outlineLevel="0" max="8" min="8" style="6" width="14.9"/>
    <col collapsed="false" customWidth="true" hidden="false" outlineLevel="0" max="9" min="9" style="1" width="21.76"/>
    <col collapsed="false" customWidth="false" hidden="false" outlineLevel="0" max="16384" min="10" style="1" width="8.65"/>
  </cols>
  <sheetData>
    <row r="1" customFormat="false" ht="13.2" hidden="false" customHeight="false" outlineLevel="0" collapsed="false">
      <c r="A1" s="1" t="s">
        <v>31</v>
      </c>
      <c r="B1" s="1" t="s">
        <v>32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39</v>
      </c>
      <c r="H1" s="6" t="s">
        <v>40</v>
      </c>
      <c r="I1" s="1" t="s">
        <v>41</v>
      </c>
      <c r="J1" s="1" t="s">
        <v>42</v>
      </c>
      <c r="K1" s="1" t="s">
        <v>43</v>
      </c>
    </row>
    <row r="2" customFormat="false" ht="13.2" hidden="false" customHeight="false" outlineLevel="0" collapsed="false">
      <c r="A2" s="1" t="s">
        <v>71</v>
      </c>
      <c r="B2" s="1" t="n">
        <v>217.26</v>
      </c>
      <c r="C2" s="1" t="n">
        <v>0</v>
      </c>
      <c r="D2" s="1" t="s">
        <v>72</v>
      </c>
      <c r="E2" s="1" t="n">
        <v>2</v>
      </c>
      <c r="F2" s="1" t="n">
        <v>1</v>
      </c>
      <c r="G2" s="5" t="s">
        <v>48</v>
      </c>
      <c r="H2" s="6" t="n">
        <v>682.1964</v>
      </c>
      <c r="I2" s="1" t="s">
        <v>73</v>
      </c>
      <c r="J2" s="9" t="n">
        <v>46372</v>
      </c>
      <c r="K2" s="1" t="n">
        <v>32</v>
      </c>
    </row>
    <row r="3" customFormat="false" ht="13.2" hidden="false" customHeight="false" outlineLevel="0" collapsed="false">
      <c r="A3" s="1" t="s">
        <v>74</v>
      </c>
      <c r="B3" s="1" t="n">
        <v>217.26</v>
      </c>
      <c r="C3" s="1" t="n">
        <v>0</v>
      </c>
      <c r="D3" s="1" t="s">
        <v>72</v>
      </c>
      <c r="E3" s="1" t="n">
        <v>2</v>
      </c>
      <c r="F3" s="1" t="n">
        <v>2</v>
      </c>
      <c r="G3" s="5" t="s">
        <v>48</v>
      </c>
      <c r="H3" s="6" t="n">
        <v>682.1964</v>
      </c>
      <c r="I3" s="1" t="s">
        <v>75</v>
      </c>
      <c r="J3" s="9" t="n">
        <v>46372</v>
      </c>
      <c r="K3" s="1" t="n">
        <v>32</v>
      </c>
    </row>
    <row r="4" customFormat="false" ht="13.2" hidden="false" customHeight="false" outlineLevel="0" collapsed="false">
      <c r="A4" s="1" t="s">
        <v>76</v>
      </c>
      <c r="B4" s="1" t="n">
        <v>217.26</v>
      </c>
      <c r="C4" s="1" t="n">
        <v>0</v>
      </c>
      <c r="D4" s="1" t="s">
        <v>72</v>
      </c>
      <c r="E4" s="1" t="n">
        <v>2</v>
      </c>
      <c r="F4" s="1" t="n">
        <v>3</v>
      </c>
      <c r="G4" s="5" t="s">
        <v>48</v>
      </c>
      <c r="H4" s="6" t="n">
        <v>682.1964</v>
      </c>
      <c r="I4" s="1" t="s">
        <v>77</v>
      </c>
      <c r="J4" s="9" t="n">
        <v>46372</v>
      </c>
      <c r="K4" s="1" t="n">
        <v>32</v>
      </c>
    </row>
    <row r="5" customFormat="false" ht="13.2" hidden="false" customHeight="false" outlineLevel="0" collapsed="false">
      <c r="A5" s="1" t="s">
        <v>78</v>
      </c>
      <c r="B5" s="1" t="n">
        <v>217.26</v>
      </c>
      <c r="C5" s="1" t="n">
        <v>0</v>
      </c>
      <c r="D5" s="1" t="s">
        <v>72</v>
      </c>
      <c r="E5" s="1" t="n">
        <v>2</v>
      </c>
      <c r="F5" s="1" t="n">
        <v>4</v>
      </c>
      <c r="G5" s="5" t="s">
        <v>48</v>
      </c>
      <c r="H5" s="6" t="n">
        <v>682.1964</v>
      </c>
      <c r="I5" s="1" t="s">
        <v>79</v>
      </c>
      <c r="J5" s="9" t="n">
        <v>46372</v>
      </c>
      <c r="K5" s="1" t="n">
        <v>32</v>
      </c>
    </row>
    <row r="6" customFormat="false" ht="13.2" hidden="false" customHeight="false" outlineLevel="0" collapsed="false">
      <c r="A6" s="1" t="s">
        <v>80</v>
      </c>
      <c r="B6" s="1" t="n">
        <v>217.26</v>
      </c>
      <c r="C6" s="1" t="n">
        <v>0</v>
      </c>
      <c r="D6" s="1" t="s">
        <v>72</v>
      </c>
      <c r="E6" s="1" t="n">
        <v>2</v>
      </c>
      <c r="F6" s="1" t="n">
        <v>5</v>
      </c>
      <c r="G6" s="5" t="s">
        <v>48</v>
      </c>
      <c r="H6" s="6" t="n">
        <v>682.1964</v>
      </c>
      <c r="I6" s="1" t="s">
        <v>81</v>
      </c>
      <c r="J6" s="9" t="n">
        <v>46372</v>
      </c>
      <c r="K6" s="1" t="n">
        <v>32</v>
      </c>
    </row>
    <row r="7" customFormat="false" ht="13.2" hidden="false" customHeight="false" outlineLevel="0" collapsed="false">
      <c r="A7" s="1" t="s">
        <v>82</v>
      </c>
      <c r="B7" s="1" t="n">
        <v>217.26</v>
      </c>
      <c r="C7" s="1" t="n">
        <v>0</v>
      </c>
      <c r="D7" s="1" t="s">
        <v>72</v>
      </c>
      <c r="E7" s="1" t="n">
        <v>2</v>
      </c>
      <c r="F7" s="1" t="n">
        <v>6</v>
      </c>
      <c r="G7" s="5" t="s">
        <v>48</v>
      </c>
      <c r="H7" s="6" t="n">
        <v>682.1964</v>
      </c>
      <c r="I7" s="1" t="s">
        <v>83</v>
      </c>
      <c r="J7" s="9" t="n">
        <v>46372</v>
      </c>
      <c r="K7" s="1" t="n">
        <v>32</v>
      </c>
    </row>
    <row r="8" customFormat="false" ht="13.2" hidden="false" customHeight="false" outlineLevel="0" collapsed="false">
      <c r="A8" s="1" t="s">
        <v>84</v>
      </c>
      <c r="B8" s="1" t="n">
        <v>229.28</v>
      </c>
      <c r="C8" s="1" t="n">
        <v>0</v>
      </c>
      <c r="D8" s="1" t="s">
        <v>72</v>
      </c>
      <c r="E8" s="1" t="n">
        <v>2</v>
      </c>
      <c r="F8" s="1" t="n">
        <v>7</v>
      </c>
      <c r="G8" s="5" t="s">
        <v>48</v>
      </c>
      <c r="H8" s="6" t="n">
        <v>719.9392</v>
      </c>
      <c r="I8" s="1" t="s">
        <v>85</v>
      </c>
      <c r="J8" s="9" t="n">
        <v>46372</v>
      </c>
      <c r="K8" s="1" t="n">
        <v>32</v>
      </c>
    </row>
    <row r="9" customFormat="false" ht="13.2" hidden="false" customHeight="false" outlineLevel="0" collapsed="false">
      <c r="A9" s="1" t="s">
        <v>86</v>
      </c>
      <c r="B9" s="1" t="n">
        <v>229.32</v>
      </c>
      <c r="C9" s="1" t="n">
        <v>0</v>
      </c>
      <c r="D9" s="1" t="s">
        <v>72</v>
      </c>
      <c r="E9" s="1" t="n">
        <v>2</v>
      </c>
      <c r="F9" s="1" t="n">
        <v>8</v>
      </c>
      <c r="G9" s="5" t="s">
        <v>48</v>
      </c>
      <c r="H9" s="6" t="n">
        <v>720.0648</v>
      </c>
      <c r="I9" s="1" t="s">
        <v>87</v>
      </c>
      <c r="J9" s="9" t="n">
        <v>46372</v>
      </c>
      <c r="K9" s="1" t="n">
        <v>32</v>
      </c>
    </row>
    <row r="10" customFormat="false" ht="13.2" hidden="false" customHeight="false" outlineLevel="0" collapsed="false">
      <c r="A10" s="1" t="s">
        <v>88</v>
      </c>
      <c r="B10" s="1" t="n">
        <v>229.33</v>
      </c>
      <c r="C10" s="1" t="n">
        <v>0</v>
      </c>
      <c r="D10" s="1" t="s">
        <v>72</v>
      </c>
      <c r="E10" s="1" t="n">
        <v>2</v>
      </c>
      <c r="F10" s="1" t="n">
        <v>9</v>
      </c>
      <c r="G10" s="5" t="s">
        <v>48</v>
      </c>
      <c r="H10" s="6" t="n">
        <v>720.0962</v>
      </c>
      <c r="I10" s="1" t="s">
        <v>89</v>
      </c>
      <c r="J10" s="9" t="n">
        <v>46372</v>
      </c>
      <c r="K10" s="1" t="n">
        <v>32</v>
      </c>
    </row>
    <row r="11" customFormat="false" ht="13.2" hidden="false" customHeight="false" outlineLevel="0" collapsed="false">
      <c r="A11" s="1" t="s">
        <v>90</v>
      </c>
      <c r="B11" s="1" t="n">
        <v>234.77</v>
      </c>
      <c r="C11" s="1" t="n">
        <v>0</v>
      </c>
      <c r="D11" s="1" t="s">
        <v>72</v>
      </c>
      <c r="E11" s="1" t="n">
        <v>2</v>
      </c>
      <c r="F11" s="1" t="n">
        <v>10</v>
      </c>
      <c r="G11" s="5" t="s">
        <v>48</v>
      </c>
      <c r="H11" s="6" t="n">
        <v>737.1778</v>
      </c>
      <c r="I11" s="1" t="s">
        <v>91</v>
      </c>
      <c r="J11" s="9" t="n">
        <v>46372</v>
      </c>
      <c r="K11" s="1" t="n">
        <v>32</v>
      </c>
    </row>
    <row r="12" customFormat="false" ht="13.2" hidden="false" customHeight="false" outlineLevel="0" collapsed="false">
      <c r="A12" s="1" t="s">
        <v>92</v>
      </c>
      <c r="B12" s="1" t="n">
        <v>234.77</v>
      </c>
      <c r="C12" s="1" t="n">
        <v>0</v>
      </c>
      <c r="D12" s="1" t="s">
        <v>72</v>
      </c>
      <c r="E12" s="1" t="n">
        <v>2</v>
      </c>
      <c r="F12" s="1" t="n">
        <v>11</v>
      </c>
      <c r="G12" s="5" t="s">
        <v>48</v>
      </c>
      <c r="H12" s="6" t="n">
        <v>737.1778</v>
      </c>
      <c r="I12" s="1" t="s">
        <v>93</v>
      </c>
      <c r="J12" s="9" t="n">
        <v>46372</v>
      </c>
      <c r="K12" s="1" t="n">
        <v>32</v>
      </c>
    </row>
    <row r="13" customFormat="false" ht="13.2" hidden="false" customHeight="false" outlineLevel="0" collapsed="false">
      <c r="A13" s="1" t="s">
        <v>94</v>
      </c>
      <c r="B13" s="1" t="n">
        <v>233.18</v>
      </c>
      <c r="C13" s="1" t="n">
        <v>0</v>
      </c>
      <c r="D13" s="1" t="s">
        <v>72</v>
      </c>
      <c r="E13" s="1" t="n">
        <v>2</v>
      </c>
      <c r="F13" s="1" t="n">
        <v>12</v>
      </c>
      <c r="G13" s="5" t="s">
        <v>48</v>
      </c>
      <c r="H13" s="6" t="n">
        <v>732.1852</v>
      </c>
      <c r="I13" s="1" t="s">
        <v>95</v>
      </c>
      <c r="J13" s="9" t="n">
        <v>46372</v>
      </c>
      <c r="K13" s="1" t="n">
        <v>32</v>
      </c>
    </row>
    <row r="14" customFormat="false" ht="13.2" hidden="false" customHeight="false" outlineLevel="0" collapsed="false">
      <c r="A14" s="1" t="s">
        <v>96</v>
      </c>
      <c r="B14" s="1" t="s">
        <v>97</v>
      </c>
      <c r="C14" s="1" t="n">
        <v>0</v>
      </c>
      <c r="D14" s="1" t="s">
        <v>72</v>
      </c>
      <c r="E14" s="1" t="n">
        <v>2</v>
      </c>
      <c r="F14" s="1" t="n">
        <v>13</v>
      </c>
      <c r="G14" s="5" t="s">
        <v>48</v>
      </c>
      <c r="H14" s="6" t="s">
        <v>97</v>
      </c>
      <c r="I14" s="1" t="s">
        <v>98</v>
      </c>
      <c r="J14" s="9" t="n">
        <v>46372</v>
      </c>
      <c r="K14" s="1" t="n">
        <v>32</v>
      </c>
    </row>
    <row r="15" customFormat="false" ht="13.2" hidden="false" customHeight="false" outlineLevel="0" collapsed="false">
      <c r="A15" s="1" t="s">
        <v>99</v>
      </c>
      <c r="B15" s="1" t="s">
        <v>97</v>
      </c>
      <c r="C15" s="1" t="n">
        <v>0</v>
      </c>
      <c r="D15" s="1" t="s">
        <v>72</v>
      </c>
      <c r="E15" s="1" t="n">
        <v>2</v>
      </c>
      <c r="F15" s="1" t="n">
        <v>14</v>
      </c>
      <c r="G15" s="5" t="s">
        <v>48</v>
      </c>
      <c r="H15" s="6" t="s">
        <v>97</v>
      </c>
      <c r="I15" s="1" t="s">
        <v>100</v>
      </c>
      <c r="J15" s="9" t="n">
        <v>46372</v>
      </c>
      <c r="K15" s="1" t="n">
        <v>32</v>
      </c>
    </row>
    <row r="16" customFormat="false" ht="13.2" hidden="false" customHeight="false" outlineLevel="0" collapsed="false">
      <c r="A16" s="1" t="s">
        <v>101</v>
      </c>
      <c r="B16" s="1" t="s">
        <v>97</v>
      </c>
      <c r="C16" s="1" t="n">
        <v>0</v>
      </c>
      <c r="D16" s="1" t="s">
        <v>72</v>
      </c>
      <c r="E16" s="1" t="n">
        <v>2</v>
      </c>
      <c r="F16" s="1" t="n">
        <v>15</v>
      </c>
      <c r="G16" s="5" t="s">
        <v>48</v>
      </c>
      <c r="H16" s="6" t="s">
        <v>97</v>
      </c>
      <c r="I16" s="1" t="s">
        <v>102</v>
      </c>
      <c r="J16" s="9" t="n">
        <v>46372</v>
      </c>
      <c r="K16" s="1" t="n">
        <v>32</v>
      </c>
    </row>
    <row r="17" customFormat="false" ht="13.2" hidden="false" customHeight="false" outlineLevel="0" collapsed="false">
      <c r="A17" s="1" t="s">
        <v>103</v>
      </c>
      <c r="B17" s="1" t="s">
        <v>97</v>
      </c>
      <c r="C17" s="1" t="n">
        <v>0</v>
      </c>
      <c r="D17" s="1" t="s">
        <v>72</v>
      </c>
      <c r="E17" s="1" t="n">
        <v>2</v>
      </c>
      <c r="F17" s="1" t="n">
        <v>16</v>
      </c>
      <c r="G17" s="5" t="s">
        <v>48</v>
      </c>
      <c r="H17" s="6" t="s">
        <v>97</v>
      </c>
      <c r="I17" s="1" t="s">
        <v>73</v>
      </c>
      <c r="J17" s="9" t="n">
        <v>46372</v>
      </c>
      <c r="K17" s="1" t="n">
        <v>32</v>
      </c>
    </row>
    <row r="18" customFormat="false" ht="13.2" hidden="false" customHeight="false" outlineLevel="0" collapsed="false">
      <c r="A18" s="1" t="s">
        <v>104</v>
      </c>
      <c r="B18" s="1" t="s">
        <v>97</v>
      </c>
      <c r="C18" s="1" t="n">
        <v>0</v>
      </c>
      <c r="D18" s="1" t="s">
        <v>72</v>
      </c>
      <c r="E18" s="1" t="n">
        <v>2</v>
      </c>
      <c r="F18" s="1" t="n">
        <v>17</v>
      </c>
      <c r="G18" s="5" t="s">
        <v>48</v>
      </c>
      <c r="H18" s="6" t="s">
        <v>97</v>
      </c>
      <c r="I18" s="1" t="s">
        <v>73</v>
      </c>
      <c r="J18" s="9" t="n">
        <v>46372</v>
      </c>
      <c r="K18" s="1" t="n">
        <v>32</v>
      </c>
    </row>
    <row r="19" customFormat="false" ht="13.2" hidden="false" customHeight="false" outlineLevel="0" collapsed="false">
      <c r="A19" s="1" t="s">
        <v>105</v>
      </c>
      <c r="B19" s="1" t="n">
        <v>217.26</v>
      </c>
      <c r="C19" s="1" t="n">
        <v>0</v>
      </c>
      <c r="D19" s="1" t="s">
        <v>106</v>
      </c>
      <c r="E19" s="1" t="n">
        <v>2</v>
      </c>
      <c r="F19" s="1" t="n">
        <v>1</v>
      </c>
      <c r="G19" s="5" t="s">
        <v>48</v>
      </c>
      <c r="H19" s="6" t="n">
        <v>682.1964</v>
      </c>
      <c r="I19" s="1" t="s">
        <v>107</v>
      </c>
      <c r="J19" s="9" t="n">
        <v>46372</v>
      </c>
      <c r="K19" s="1" t="n">
        <v>32</v>
      </c>
    </row>
    <row r="20" customFormat="false" ht="13.2" hidden="false" customHeight="false" outlineLevel="0" collapsed="false">
      <c r="A20" s="1" t="s">
        <v>108</v>
      </c>
      <c r="B20" s="1" t="n">
        <v>217.26</v>
      </c>
      <c r="C20" s="1" t="n">
        <v>0</v>
      </c>
      <c r="D20" s="1" t="s">
        <v>106</v>
      </c>
      <c r="E20" s="1" t="n">
        <v>2</v>
      </c>
      <c r="F20" s="1" t="n">
        <v>2</v>
      </c>
      <c r="G20" s="5" t="s">
        <v>48</v>
      </c>
      <c r="H20" s="6" t="n">
        <v>682.1964</v>
      </c>
      <c r="I20" s="1" t="s">
        <v>109</v>
      </c>
      <c r="J20" s="9" t="n">
        <v>46372</v>
      </c>
      <c r="K20" s="1" t="n">
        <v>32</v>
      </c>
    </row>
    <row r="21" customFormat="false" ht="13.2" hidden="false" customHeight="false" outlineLevel="0" collapsed="false">
      <c r="A21" s="1" t="s">
        <v>110</v>
      </c>
      <c r="B21" s="1" t="n">
        <v>217.26</v>
      </c>
      <c r="C21" s="1" t="n">
        <v>0</v>
      </c>
      <c r="D21" s="1" t="s">
        <v>106</v>
      </c>
      <c r="E21" s="1" t="n">
        <v>2</v>
      </c>
      <c r="F21" s="1" t="n">
        <v>3</v>
      </c>
      <c r="G21" s="5" t="s">
        <v>48</v>
      </c>
      <c r="H21" s="6" t="n">
        <v>682.1964</v>
      </c>
      <c r="I21" s="1" t="s">
        <v>111</v>
      </c>
      <c r="J21" s="9" t="n">
        <v>46372</v>
      </c>
      <c r="K21" s="1" t="n">
        <v>32</v>
      </c>
    </row>
    <row r="22" customFormat="false" ht="13.2" hidden="false" customHeight="false" outlineLevel="0" collapsed="false">
      <c r="A22" s="1" t="s">
        <v>112</v>
      </c>
      <c r="B22" s="1" t="n">
        <v>217.26</v>
      </c>
      <c r="C22" s="1" t="n">
        <v>0</v>
      </c>
      <c r="D22" s="1" t="s">
        <v>106</v>
      </c>
      <c r="E22" s="1" t="n">
        <v>2</v>
      </c>
      <c r="F22" s="1" t="n">
        <v>4</v>
      </c>
      <c r="G22" s="5" t="s">
        <v>48</v>
      </c>
      <c r="H22" s="6" t="n">
        <v>682.1964</v>
      </c>
      <c r="I22" s="1" t="s">
        <v>113</v>
      </c>
      <c r="J22" s="9" t="n">
        <v>46372</v>
      </c>
      <c r="K22" s="1" t="n">
        <v>32</v>
      </c>
    </row>
    <row r="23" customFormat="false" ht="13.2" hidden="false" customHeight="false" outlineLevel="0" collapsed="false">
      <c r="A23" s="1" t="s">
        <v>114</v>
      </c>
      <c r="B23" s="1" t="n">
        <v>217.26</v>
      </c>
      <c r="C23" s="1" t="n">
        <v>0</v>
      </c>
      <c r="D23" s="1" t="s">
        <v>106</v>
      </c>
      <c r="E23" s="1" t="n">
        <v>2</v>
      </c>
      <c r="F23" s="1" t="n">
        <v>5</v>
      </c>
      <c r="G23" s="5" t="s">
        <v>48</v>
      </c>
      <c r="H23" s="6" t="n">
        <v>682.1964</v>
      </c>
      <c r="I23" s="1" t="s">
        <v>115</v>
      </c>
      <c r="J23" s="9" t="n">
        <v>46372</v>
      </c>
      <c r="K23" s="1" t="n">
        <v>32</v>
      </c>
    </row>
    <row r="24" customFormat="false" ht="13.2" hidden="false" customHeight="false" outlineLevel="0" collapsed="false">
      <c r="A24" s="1" t="s">
        <v>116</v>
      </c>
      <c r="B24" s="1" t="n">
        <v>217.26</v>
      </c>
      <c r="C24" s="1" t="n">
        <v>0</v>
      </c>
      <c r="D24" s="1" t="s">
        <v>106</v>
      </c>
      <c r="E24" s="1" t="n">
        <v>2</v>
      </c>
      <c r="F24" s="1" t="n">
        <v>6</v>
      </c>
      <c r="G24" s="5" t="s">
        <v>48</v>
      </c>
      <c r="H24" s="6" t="n">
        <v>682.1964</v>
      </c>
      <c r="I24" s="1" t="s">
        <v>117</v>
      </c>
      <c r="J24" s="9" t="n">
        <v>46372</v>
      </c>
      <c r="K24" s="1" t="n">
        <v>32</v>
      </c>
    </row>
    <row r="25" customFormat="false" ht="13.2" hidden="false" customHeight="false" outlineLevel="0" collapsed="false">
      <c r="A25" s="1" t="s">
        <v>118</v>
      </c>
      <c r="B25" s="1" t="n">
        <v>229.28</v>
      </c>
      <c r="C25" s="1" t="n">
        <v>0</v>
      </c>
      <c r="D25" s="1" t="s">
        <v>106</v>
      </c>
      <c r="E25" s="1" t="n">
        <v>2</v>
      </c>
      <c r="F25" s="1" t="n">
        <v>7</v>
      </c>
      <c r="G25" s="5" t="s">
        <v>48</v>
      </c>
      <c r="H25" s="6" t="n">
        <v>719.9392</v>
      </c>
      <c r="I25" s="1" t="s">
        <v>119</v>
      </c>
      <c r="J25" s="9" t="n">
        <v>46372</v>
      </c>
      <c r="K25" s="1" t="n">
        <v>32</v>
      </c>
    </row>
    <row r="26" customFormat="false" ht="13.2" hidden="false" customHeight="false" outlineLevel="0" collapsed="false">
      <c r="A26" s="1" t="s">
        <v>120</v>
      </c>
      <c r="B26" s="1" t="n">
        <v>229.33</v>
      </c>
      <c r="C26" s="1" t="n">
        <v>0</v>
      </c>
      <c r="D26" s="1" t="s">
        <v>106</v>
      </c>
      <c r="E26" s="1" t="n">
        <v>2</v>
      </c>
      <c r="F26" s="1" t="n">
        <v>8</v>
      </c>
      <c r="G26" s="5" t="s">
        <v>48</v>
      </c>
      <c r="H26" s="6" t="n">
        <v>720.0962</v>
      </c>
      <c r="I26" s="1" t="s">
        <v>121</v>
      </c>
      <c r="J26" s="9" t="n">
        <v>46372</v>
      </c>
      <c r="K26" s="1" t="n">
        <v>32</v>
      </c>
    </row>
    <row r="27" customFormat="false" ht="13.2" hidden="false" customHeight="false" outlineLevel="0" collapsed="false">
      <c r="A27" s="1" t="s">
        <v>122</v>
      </c>
      <c r="B27" s="1" t="n">
        <v>229.32</v>
      </c>
      <c r="C27" s="1" t="n">
        <v>0</v>
      </c>
      <c r="D27" s="1" t="s">
        <v>106</v>
      </c>
      <c r="E27" s="1" t="n">
        <v>2</v>
      </c>
      <c r="F27" s="1" t="n">
        <v>9</v>
      </c>
      <c r="G27" s="5" t="s">
        <v>48</v>
      </c>
      <c r="H27" s="6" t="n">
        <v>720.0648</v>
      </c>
      <c r="I27" s="1" t="s">
        <v>123</v>
      </c>
      <c r="J27" s="9" t="n">
        <v>46372</v>
      </c>
      <c r="K27" s="1" t="n">
        <v>32</v>
      </c>
    </row>
    <row r="28" customFormat="false" ht="13.2" hidden="false" customHeight="false" outlineLevel="0" collapsed="false">
      <c r="A28" s="1" t="s">
        <v>124</v>
      </c>
      <c r="B28" s="1" t="n">
        <v>234.77</v>
      </c>
      <c r="C28" s="1" t="n">
        <v>0</v>
      </c>
      <c r="D28" s="1" t="s">
        <v>106</v>
      </c>
      <c r="E28" s="1" t="n">
        <v>2</v>
      </c>
      <c r="F28" s="1" t="n">
        <v>10</v>
      </c>
      <c r="G28" s="5" t="s">
        <v>48</v>
      </c>
      <c r="H28" s="6" t="n">
        <v>737.1778</v>
      </c>
      <c r="I28" s="1" t="s">
        <v>125</v>
      </c>
      <c r="J28" s="9" t="n">
        <v>46372</v>
      </c>
      <c r="K28" s="1" t="n">
        <v>32</v>
      </c>
    </row>
    <row r="29" customFormat="false" ht="13.2" hidden="false" customHeight="false" outlineLevel="0" collapsed="false">
      <c r="A29" s="1" t="s">
        <v>126</v>
      </c>
      <c r="B29" s="1" t="n">
        <v>276.3</v>
      </c>
      <c r="C29" s="1" t="n">
        <v>0</v>
      </c>
      <c r="D29" s="1" t="s">
        <v>106</v>
      </c>
      <c r="E29" s="1" t="n">
        <v>2</v>
      </c>
      <c r="F29" s="1" t="n">
        <v>11</v>
      </c>
      <c r="G29" s="5" t="s">
        <v>48</v>
      </c>
      <c r="H29" s="6" t="n">
        <v>867.582</v>
      </c>
      <c r="I29" s="1" t="s">
        <v>127</v>
      </c>
      <c r="J29" s="9" t="n">
        <v>46372</v>
      </c>
      <c r="K29" s="1" t="n">
        <v>32</v>
      </c>
    </row>
    <row r="30" customFormat="false" ht="13.2" hidden="false" customHeight="false" outlineLevel="0" collapsed="false">
      <c r="A30" s="1" t="s">
        <v>128</v>
      </c>
      <c r="B30" s="1" t="n">
        <v>278.03</v>
      </c>
      <c r="C30" s="1" t="n">
        <v>0</v>
      </c>
      <c r="D30" s="1" t="s">
        <v>106</v>
      </c>
      <c r="E30" s="1" t="n">
        <v>2</v>
      </c>
      <c r="F30" s="1" t="n">
        <v>12</v>
      </c>
      <c r="G30" s="5" t="s">
        <v>48</v>
      </c>
      <c r="H30" s="6" t="n">
        <v>873.0142</v>
      </c>
      <c r="I30" s="1" t="s">
        <v>129</v>
      </c>
      <c r="J30" s="9" t="n">
        <v>46372</v>
      </c>
      <c r="K30" s="1" t="n">
        <v>32</v>
      </c>
    </row>
    <row r="31" customFormat="false" ht="13.2" hidden="false" customHeight="false" outlineLevel="0" collapsed="false">
      <c r="A31" s="1" t="s">
        <v>130</v>
      </c>
      <c r="B31" s="1" t="n">
        <v>338.92</v>
      </c>
      <c r="C31" s="1" t="n">
        <v>0</v>
      </c>
      <c r="D31" s="1" t="s">
        <v>106</v>
      </c>
      <c r="E31" s="1" t="n">
        <v>2</v>
      </c>
      <c r="F31" s="1" t="n">
        <v>13</v>
      </c>
      <c r="G31" s="5" t="s">
        <v>48</v>
      </c>
      <c r="H31" s="6" t="n">
        <v>1064.2088</v>
      </c>
      <c r="I31" s="1" t="s">
        <v>131</v>
      </c>
      <c r="J31" s="9" t="n">
        <v>46372</v>
      </c>
      <c r="K31" s="1" t="n">
        <v>63</v>
      </c>
    </row>
    <row r="32" customFormat="false" ht="13.2" hidden="false" customHeight="false" outlineLevel="0" collapsed="false">
      <c r="A32" s="1" t="s">
        <v>132</v>
      </c>
      <c r="B32" s="1" t="n">
        <v>362.14</v>
      </c>
      <c r="C32" s="1" t="n">
        <v>0</v>
      </c>
      <c r="D32" s="1" t="s">
        <v>106</v>
      </c>
      <c r="E32" s="1" t="n">
        <v>2</v>
      </c>
      <c r="F32" s="1" t="n">
        <v>14</v>
      </c>
      <c r="G32" s="5" t="s">
        <v>48</v>
      </c>
      <c r="H32" s="6" t="n">
        <v>1137.1196</v>
      </c>
      <c r="I32" s="1" t="s">
        <v>133</v>
      </c>
      <c r="J32" s="9" t="n">
        <v>46372</v>
      </c>
      <c r="K32" s="1" t="n">
        <v>63</v>
      </c>
    </row>
    <row r="33" customFormat="false" ht="13.2" hidden="false" customHeight="false" outlineLevel="0" collapsed="false">
      <c r="A33" s="1" t="s">
        <v>134</v>
      </c>
      <c r="B33" s="1" t="n">
        <v>374.58</v>
      </c>
      <c r="C33" s="1" t="n">
        <v>0</v>
      </c>
      <c r="D33" s="1" t="s">
        <v>106</v>
      </c>
      <c r="E33" s="1" t="n">
        <v>2</v>
      </c>
      <c r="F33" s="1" t="n">
        <v>15</v>
      </c>
      <c r="G33" s="5" t="s">
        <v>48</v>
      </c>
      <c r="H33" s="6" t="n">
        <v>1176.1812</v>
      </c>
      <c r="I33" s="1" t="s">
        <v>135</v>
      </c>
      <c r="J33" s="9" t="n">
        <v>46372</v>
      </c>
      <c r="K33" s="1" t="n">
        <v>63</v>
      </c>
    </row>
    <row r="34" customFormat="false" ht="13.2" hidden="false" customHeight="false" outlineLevel="0" collapsed="false">
      <c r="A34" s="1" t="s">
        <v>136</v>
      </c>
      <c r="B34" s="1" t="s">
        <v>97</v>
      </c>
      <c r="C34" s="1" t="n">
        <v>0</v>
      </c>
      <c r="D34" s="1" t="s">
        <v>106</v>
      </c>
      <c r="E34" s="1" t="n">
        <v>2</v>
      </c>
      <c r="F34" s="1" t="n">
        <v>16</v>
      </c>
      <c r="G34" s="5" t="s">
        <v>48</v>
      </c>
      <c r="H34" s="6" t="s">
        <v>97</v>
      </c>
      <c r="I34" s="1" t="s">
        <v>107</v>
      </c>
      <c r="J34" s="9" t="n">
        <v>46372</v>
      </c>
      <c r="K34" s="1" t="n">
        <v>32</v>
      </c>
    </row>
    <row r="35" customFormat="false" ht="13.2" hidden="false" customHeight="false" outlineLevel="0" collapsed="false">
      <c r="A35" s="1" t="s">
        <v>137</v>
      </c>
      <c r="B35" s="1" t="s">
        <v>97</v>
      </c>
      <c r="C35" s="1" t="n">
        <v>0</v>
      </c>
      <c r="D35" s="1" t="s">
        <v>106</v>
      </c>
      <c r="E35" s="1" t="n">
        <v>2</v>
      </c>
      <c r="F35" s="1" t="n">
        <v>17</v>
      </c>
      <c r="G35" s="5" t="s">
        <v>48</v>
      </c>
      <c r="H35" s="6" t="s">
        <v>97</v>
      </c>
      <c r="I35" s="1" t="s">
        <v>107</v>
      </c>
      <c r="J35" s="9" t="n">
        <v>46372</v>
      </c>
      <c r="K35" s="1" t="n">
        <v>32</v>
      </c>
    </row>
    <row r="36" customFormat="false" ht="13.2" hidden="false" customHeight="false" outlineLevel="0" collapsed="false">
      <c r="A36" s="1" t="s">
        <v>138</v>
      </c>
      <c r="B36" s="1" t="n">
        <v>426.41</v>
      </c>
      <c r="C36" s="1" t="n">
        <v>1</v>
      </c>
      <c r="D36" s="1" t="s">
        <v>106</v>
      </c>
      <c r="E36" s="1" t="n">
        <v>2</v>
      </c>
      <c r="F36" s="1" t="n">
        <v>1</v>
      </c>
      <c r="G36" s="5" t="s">
        <v>48</v>
      </c>
      <c r="H36" s="6" t="n">
        <v>1338.9274</v>
      </c>
      <c r="I36" s="1" t="s">
        <v>139</v>
      </c>
      <c r="J36" s="9" t="n">
        <v>46372</v>
      </c>
      <c r="K36" s="1" t="n">
        <v>32</v>
      </c>
    </row>
    <row r="37" customFormat="false" ht="13.2" hidden="false" customHeight="false" outlineLevel="0" collapsed="false">
      <c r="A37" s="1" t="s">
        <v>140</v>
      </c>
      <c r="B37" s="1" t="n">
        <v>444.21</v>
      </c>
      <c r="C37" s="1" t="n">
        <v>1</v>
      </c>
      <c r="D37" s="1" t="s">
        <v>106</v>
      </c>
      <c r="E37" s="1" t="n">
        <v>2</v>
      </c>
      <c r="F37" s="1" t="n">
        <v>2</v>
      </c>
      <c r="G37" s="5" t="s">
        <v>48</v>
      </c>
      <c r="H37" s="6" t="n">
        <v>1394.8194</v>
      </c>
      <c r="I37" s="1" t="s">
        <v>141</v>
      </c>
      <c r="J37" s="9" t="n">
        <v>46372</v>
      </c>
      <c r="K37" s="1" t="n">
        <v>32</v>
      </c>
    </row>
    <row r="38" customFormat="false" ht="13.2" hidden="false" customHeight="false" outlineLevel="0" collapsed="false">
      <c r="A38" s="1" t="s">
        <v>142</v>
      </c>
      <c r="B38" s="1" t="n">
        <v>454.25</v>
      </c>
      <c r="C38" s="1" t="n">
        <v>1</v>
      </c>
      <c r="D38" s="1" t="s">
        <v>106</v>
      </c>
      <c r="E38" s="1" t="n">
        <v>2</v>
      </c>
      <c r="F38" s="1" t="n">
        <v>3</v>
      </c>
      <c r="G38" s="5" t="s">
        <v>48</v>
      </c>
      <c r="H38" s="6" t="n">
        <v>1426.345</v>
      </c>
      <c r="I38" s="1" t="s">
        <v>143</v>
      </c>
      <c r="J38" s="9" t="n">
        <v>46372</v>
      </c>
      <c r="K38" s="1" t="n">
        <v>32</v>
      </c>
    </row>
    <row r="39" customFormat="false" ht="13.2" hidden="false" customHeight="false" outlineLevel="0" collapsed="false">
      <c r="A39" s="1" t="s">
        <v>144</v>
      </c>
      <c r="B39" s="1" t="n">
        <v>509.31</v>
      </c>
      <c r="C39" s="1" t="n">
        <v>1</v>
      </c>
      <c r="D39" s="1" t="s">
        <v>106</v>
      </c>
      <c r="E39" s="1" t="n">
        <v>2</v>
      </c>
      <c r="F39" s="1" t="n">
        <v>4</v>
      </c>
      <c r="G39" s="5" t="s">
        <v>48</v>
      </c>
      <c r="H39" s="6" t="n">
        <v>1599.2334</v>
      </c>
      <c r="I39" s="1" t="s">
        <v>145</v>
      </c>
      <c r="J39" s="9" t="n">
        <v>46372</v>
      </c>
      <c r="K39" s="1" t="n">
        <v>32</v>
      </c>
    </row>
    <row r="40" customFormat="false" ht="13.2" hidden="false" customHeight="false" outlineLevel="0" collapsed="false">
      <c r="A40" s="1" t="s">
        <v>146</v>
      </c>
      <c r="B40" s="1" t="n">
        <v>520.2</v>
      </c>
      <c r="C40" s="1" t="n">
        <v>1</v>
      </c>
      <c r="D40" s="1" t="s">
        <v>106</v>
      </c>
      <c r="E40" s="1" t="n">
        <v>2</v>
      </c>
      <c r="F40" s="1" t="n">
        <v>5</v>
      </c>
      <c r="G40" s="5" t="s">
        <v>48</v>
      </c>
      <c r="H40" s="6" t="n">
        <v>1633.428</v>
      </c>
      <c r="I40" s="1" t="s">
        <v>147</v>
      </c>
      <c r="J40" s="9" t="n">
        <v>46372</v>
      </c>
      <c r="K40" s="1" t="n">
        <v>32</v>
      </c>
    </row>
    <row r="41" customFormat="false" ht="13.2" hidden="false" customHeight="false" outlineLevel="0" collapsed="false">
      <c r="A41" s="1" t="s">
        <v>148</v>
      </c>
      <c r="B41" s="1" t="n">
        <v>602.67</v>
      </c>
      <c r="C41" s="1" t="n">
        <v>1</v>
      </c>
      <c r="D41" s="1" t="s">
        <v>106</v>
      </c>
      <c r="E41" s="1" t="n">
        <v>2</v>
      </c>
      <c r="F41" s="1" t="n">
        <v>6</v>
      </c>
      <c r="G41" s="5" t="s">
        <v>48</v>
      </c>
      <c r="H41" s="6" t="n">
        <v>1892.3838</v>
      </c>
      <c r="I41" s="1" t="s">
        <v>149</v>
      </c>
      <c r="J41" s="9" t="n">
        <v>46372</v>
      </c>
      <c r="K41" s="1" t="n">
        <v>32</v>
      </c>
    </row>
    <row r="42" customFormat="false" ht="13.2" hidden="false" customHeight="false" outlineLevel="0" collapsed="false">
      <c r="A42" s="1" t="s">
        <v>150</v>
      </c>
      <c r="B42" s="1" t="n">
        <v>723.39</v>
      </c>
      <c r="C42" s="1" t="n">
        <v>1</v>
      </c>
      <c r="D42" s="1" t="s">
        <v>106</v>
      </c>
      <c r="E42" s="1" t="n">
        <v>2</v>
      </c>
      <c r="F42" s="1" t="n">
        <v>7</v>
      </c>
      <c r="G42" s="5" t="s">
        <v>48</v>
      </c>
      <c r="H42" s="6" t="n">
        <v>2271.4446</v>
      </c>
      <c r="I42" s="1" t="s">
        <v>151</v>
      </c>
      <c r="J42" s="9" t="n">
        <v>46372</v>
      </c>
      <c r="K42" s="1" t="n">
        <v>63</v>
      </c>
    </row>
    <row r="43" customFormat="false" ht="13.2" hidden="false" customHeight="false" outlineLevel="0" collapsed="false">
      <c r="A43" s="1" t="s">
        <v>152</v>
      </c>
      <c r="B43" s="1" t="n">
        <v>847.89</v>
      </c>
      <c r="C43" s="1" t="n">
        <v>1</v>
      </c>
      <c r="D43" s="1" t="s">
        <v>106</v>
      </c>
      <c r="E43" s="1" t="n">
        <v>2</v>
      </c>
      <c r="F43" s="1" t="n">
        <v>8</v>
      </c>
      <c r="G43" s="5" t="s">
        <v>48</v>
      </c>
      <c r="H43" s="6" t="n">
        <v>2662.3746</v>
      </c>
      <c r="I43" s="1" t="s">
        <v>153</v>
      </c>
      <c r="J43" s="9" t="n">
        <v>46372</v>
      </c>
      <c r="K43" s="1" t="n">
        <v>63</v>
      </c>
    </row>
    <row r="44" customFormat="false" ht="13.2" hidden="false" customHeight="false" outlineLevel="0" collapsed="false">
      <c r="A44" s="1" t="s">
        <v>154</v>
      </c>
      <c r="B44" s="1" t="n">
        <v>988.23</v>
      </c>
      <c r="C44" s="1" t="n">
        <v>1</v>
      </c>
      <c r="D44" s="1" t="s">
        <v>106</v>
      </c>
      <c r="E44" s="1" t="n">
        <v>2</v>
      </c>
      <c r="F44" s="1" t="n">
        <v>9</v>
      </c>
      <c r="G44" s="5" t="s">
        <v>48</v>
      </c>
      <c r="H44" s="6" t="n">
        <v>3103.0422</v>
      </c>
      <c r="I44" s="1" t="s">
        <v>155</v>
      </c>
      <c r="J44" s="9" t="n">
        <v>46372</v>
      </c>
      <c r="K44" s="1" t="n">
        <v>63</v>
      </c>
    </row>
    <row r="45" customFormat="false" ht="13.2" hidden="false" customHeight="false" outlineLevel="0" collapsed="false">
      <c r="A45" s="1" t="s">
        <v>156</v>
      </c>
      <c r="B45" s="1" t="n">
        <v>1039.51</v>
      </c>
      <c r="C45" s="1" t="n">
        <v>1</v>
      </c>
      <c r="D45" s="1" t="s">
        <v>106</v>
      </c>
      <c r="E45" s="1" t="n">
        <v>2</v>
      </c>
      <c r="F45" s="1" t="n">
        <v>10</v>
      </c>
      <c r="G45" s="5" t="s">
        <v>48</v>
      </c>
      <c r="H45" s="6" t="n">
        <v>3264.0614</v>
      </c>
      <c r="I45" s="1" t="s">
        <v>157</v>
      </c>
      <c r="J45" s="9" t="n">
        <v>46372</v>
      </c>
      <c r="K45" s="1" t="n">
        <v>100</v>
      </c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6" colorId="64" zoomScale="140" zoomScaleNormal="140" zoomScalePageLayoutView="100" workbookViewId="0">
      <selection pane="topLeft" activeCell="K32" activeCellId="0" sqref="K32"/>
    </sheetView>
  </sheetViews>
  <sheetFormatPr defaultColWidth="8.65234375" defaultRowHeight="13.2" customHeight="false" zeroHeight="false" outlineLevelRow="0" outlineLevelCol="0"/>
  <cols>
    <col collapsed="false" customWidth="true" hidden="false" outlineLevel="0" max="1" min="1" style="1" width="21.3"/>
    <col collapsed="false" customWidth="true" hidden="false" outlineLevel="0" max="7" min="2" style="1" width="11.57"/>
    <col collapsed="false" customWidth="false" hidden="false" outlineLevel="0" max="8" min="8" style="1" width="8.65"/>
    <col collapsed="false" customWidth="true" hidden="false" outlineLevel="0" max="9" min="9" style="1" width="26.33"/>
    <col collapsed="false" customWidth="false" hidden="false" outlineLevel="0" max="16384" min="10" style="1" width="8.65"/>
  </cols>
  <sheetData>
    <row r="1" customFormat="false" ht="13.2" hidden="false" customHeight="false" outlineLevel="0" collapsed="false">
      <c r="A1" s="1" t="s">
        <v>31</v>
      </c>
      <c r="B1" s="1" t="s">
        <v>32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39</v>
      </c>
      <c r="H1" s="6" t="s">
        <v>40</v>
      </c>
      <c r="I1" s="1" t="s">
        <v>41</v>
      </c>
      <c r="J1" s="1" t="s">
        <v>42</v>
      </c>
      <c r="K1" s="1" t="s">
        <v>43</v>
      </c>
    </row>
    <row r="2" customFormat="false" ht="13.2" hidden="false" customHeight="false" outlineLevel="0" collapsed="false">
      <c r="A2" s="1" t="s">
        <v>158</v>
      </c>
      <c r="B2" s="1" t="n">
        <v>607.2</v>
      </c>
      <c r="C2" s="1" t="n">
        <v>1</v>
      </c>
      <c r="D2" s="1" t="s">
        <v>106</v>
      </c>
      <c r="E2" s="1" t="n">
        <v>2</v>
      </c>
      <c r="F2" s="1" t="n">
        <v>1</v>
      </c>
      <c r="G2" s="5" t="s">
        <v>48</v>
      </c>
      <c r="H2" s="1" t="n">
        <f aca="false">IFERROR(B2*3.12, "не загружена")</f>
        <v>1894.464</v>
      </c>
      <c r="I2" s="1" t="str">
        <f aca="false">"2Н 380В до "&amp;M2&amp;" с ПЧ"</f>
        <v>2Н 380В до  с ПЧ</v>
      </c>
      <c r="J2" s="9" t="n">
        <v>46372</v>
      </c>
      <c r="K2" s="1" t="n">
        <v>32</v>
      </c>
      <c r="M2" s="3"/>
    </row>
    <row r="3" customFormat="false" ht="13.2" hidden="false" customHeight="false" outlineLevel="0" collapsed="false">
      <c r="A3" s="1" t="s">
        <v>159</v>
      </c>
      <c r="B3" s="1" t="n">
        <v>604.4</v>
      </c>
      <c r="C3" s="1" t="n">
        <v>1</v>
      </c>
      <c r="D3" s="1" t="s">
        <v>106</v>
      </c>
      <c r="E3" s="1" t="n">
        <v>2</v>
      </c>
      <c r="F3" s="1" t="n">
        <v>2</v>
      </c>
      <c r="G3" s="5" t="s">
        <v>48</v>
      </c>
      <c r="H3" s="1" t="n">
        <f aca="false">IFERROR(B3*3.12, "не загружена")</f>
        <v>1885.728</v>
      </c>
      <c r="I3" s="1" t="str">
        <f aca="false">"2Н 380В до "&amp;M3&amp;" с ПЧ"</f>
        <v>2Н 380В до  с ПЧ</v>
      </c>
      <c r="J3" s="9" t="n">
        <v>46372</v>
      </c>
      <c r="K3" s="1" t="n">
        <v>32</v>
      </c>
      <c r="M3" s="3"/>
    </row>
    <row r="4" customFormat="false" ht="13.2" hidden="false" customHeight="false" outlineLevel="0" collapsed="false">
      <c r="A4" s="1" t="s">
        <v>160</v>
      </c>
      <c r="B4" s="1" t="n">
        <v>636</v>
      </c>
      <c r="C4" s="1" t="n">
        <v>1</v>
      </c>
      <c r="D4" s="1" t="s">
        <v>106</v>
      </c>
      <c r="E4" s="1" t="n">
        <v>2</v>
      </c>
      <c r="F4" s="1" t="n">
        <v>3</v>
      </c>
      <c r="G4" s="5" t="s">
        <v>48</v>
      </c>
      <c r="H4" s="1" t="n">
        <f aca="false">IFERROR(B4*3.12, "не загружена")</f>
        <v>1984.32</v>
      </c>
      <c r="I4" s="1" t="str">
        <f aca="false">"2Н 380В до "&amp;M4&amp;" с ПЧ"</f>
        <v>2Н 380В до  с ПЧ</v>
      </c>
      <c r="J4" s="9" t="n">
        <v>46372</v>
      </c>
      <c r="K4" s="1" t="n">
        <v>32</v>
      </c>
      <c r="M4" s="3"/>
    </row>
    <row r="5" customFormat="false" ht="13.2" hidden="false" customHeight="false" outlineLevel="0" collapsed="false">
      <c r="A5" s="1" t="s">
        <v>161</v>
      </c>
      <c r="B5" s="1" t="n">
        <v>696.9</v>
      </c>
      <c r="C5" s="1" t="n">
        <v>1</v>
      </c>
      <c r="D5" s="1" t="s">
        <v>106</v>
      </c>
      <c r="E5" s="1" t="n">
        <v>2</v>
      </c>
      <c r="F5" s="1" t="n">
        <v>4</v>
      </c>
      <c r="G5" s="5" t="s">
        <v>48</v>
      </c>
      <c r="H5" s="1" t="n">
        <f aca="false">IFERROR(B5*3.12, "не загружена")</f>
        <v>2174.328</v>
      </c>
      <c r="I5" s="1" t="str">
        <f aca="false">"2Н 380В до "&amp;M5&amp;" с ПЧ"</f>
        <v>2Н 380В до  с ПЧ</v>
      </c>
      <c r="J5" s="9" t="n">
        <v>46372</v>
      </c>
      <c r="K5" s="1" t="n">
        <v>32</v>
      </c>
      <c r="M5" s="3"/>
    </row>
    <row r="6" customFormat="false" ht="13.2" hidden="false" customHeight="false" outlineLevel="0" collapsed="false">
      <c r="A6" s="1" t="s">
        <v>162</v>
      </c>
      <c r="B6" s="1" t="n">
        <v>793.5</v>
      </c>
      <c r="C6" s="1" t="n">
        <v>1</v>
      </c>
      <c r="D6" s="1" t="s">
        <v>106</v>
      </c>
      <c r="E6" s="1" t="n">
        <v>2</v>
      </c>
      <c r="F6" s="1" t="n">
        <v>5</v>
      </c>
      <c r="G6" s="5" t="s">
        <v>48</v>
      </c>
      <c r="H6" s="1" t="n">
        <f aca="false">IFERROR(B6*3.12, "не загружена")</f>
        <v>2475.72</v>
      </c>
      <c r="I6" s="1" t="str">
        <f aca="false">"2Н 380В до "&amp;M6&amp;" с ПЧ"</f>
        <v>2Н 380В до  с ПЧ</v>
      </c>
      <c r="J6" s="9" t="n">
        <v>46372</v>
      </c>
      <c r="K6" s="1" t="n">
        <v>63</v>
      </c>
      <c r="M6" s="3"/>
    </row>
    <row r="7" customFormat="false" ht="13.2" hidden="false" customHeight="false" outlineLevel="0" collapsed="false">
      <c r="A7" s="1" t="s">
        <v>163</v>
      </c>
      <c r="B7" s="1" t="n">
        <v>875</v>
      </c>
      <c r="C7" s="1" t="n">
        <v>1</v>
      </c>
      <c r="D7" s="1" t="s">
        <v>106</v>
      </c>
      <c r="E7" s="1" t="n">
        <v>2</v>
      </c>
      <c r="F7" s="1" t="n">
        <v>6</v>
      </c>
      <c r="G7" s="5" t="s">
        <v>48</v>
      </c>
      <c r="H7" s="1" t="n">
        <f aca="false">IFERROR(B7*3.12, "не загружена")</f>
        <v>2730</v>
      </c>
      <c r="I7" s="1" t="str">
        <f aca="false">"2Н 380В до "&amp;M7&amp;" с ПЧ"</f>
        <v>2Н 380В до  с ПЧ</v>
      </c>
      <c r="J7" s="9" t="n">
        <v>46372</v>
      </c>
      <c r="K7" s="1" t="n">
        <v>63</v>
      </c>
      <c r="M7" s="3"/>
    </row>
    <row r="8" customFormat="false" ht="13.2" hidden="false" customHeight="false" outlineLevel="0" collapsed="false">
      <c r="A8" s="1" t="s">
        <v>164</v>
      </c>
      <c r="B8" s="1" t="n">
        <v>994.5</v>
      </c>
      <c r="C8" s="1" t="n">
        <v>1</v>
      </c>
      <c r="D8" s="1" t="s">
        <v>106</v>
      </c>
      <c r="E8" s="1" t="n">
        <v>2</v>
      </c>
      <c r="F8" s="1" t="n">
        <v>7</v>
      </c>
      <c r="G8" s="5" t="s">
        <v>48</v>
      </c>
      <c r="H8" s="1" t="n">
        <f aca="false">IFERROR(B8*3.12, "не загружена")</f>
        <v>3102.84</v>
      </c>
      <c r="I8" s="1" t="str">
        <f aca="false">"2Н 380В до "&amp;M8&amp;" с ПЧ"</f>
        <v>2Н 380В до  с ПЧ</v>
      </c>
      <c r="J8" s="9" t="n">
        <v>46372</v>
      </c>
      <c r="K8" s="1" t="n">
        <v>100</v>
      </c>
      <c r="M8" s="3"/>
    </row>
    <row r="9" customFormat="false" ht="13.2" hidden="false" customHeight="false" outlineLevel="0" collapsed="false">
      <c r="A9" s="1" t="s">
        <v>165</v>
      </c>
      <c r="B9" s="1" t="n">
        <v>1094.5</v>
      </c>
      <c r="C9" s="1" t="n">
        <v>1</v>
      </c>
      <c r="D9" s="1" t="s">
        <v>106</v>
      </c>
      <c r="E9" s="1" t="n">
        <v>2</v>
      </c>
      <c r="F9" s="1" t="n">
        <v>8</v>
      </c>
      <c r="G9" s="5" t="s">
        <v>48</v>
      </c>
      <c r="H9" s="1" t="n">
        <f aca="false">IFERROR(B9*3.12, "не загружена")</f>
        <v>3414.84</v>
      </c>
      <c r="I9" s="1" t="str">
        <f aca="false">"2Н 380В до "&amp;M9&amp;" с ПЧ"</f>
        <v>2Н 380В до  с ПЧ</v>
      </c>
      <c r="J9" s="9" t="n">
        <v>46372</v>
      </c>
      <c r="K9" s="1" t="n">
        <v>100</v>
      </c>
      <c r="M9" s="3"/>
    </row>
    <row r="10" customFormat="false" ht="13.2" hidden="false" customHeight="false" outlineLevel="0" collapsed="false">
      <c r="A10" s="1" t="s">
        <v>166</v>
      </c>
      <c r="B10" s="1" t="n">
        <v>1160.5</v>
      </c>
      <c r="C10" s="1" t="n">
        <v>1</v>
      </c>
      <c r="D10" s="1" t="s">
        <v>106</v>
      </c>
      <c r="E10" s="1" t="n">
        <v>2</v>
      </c>
      <c r="F10" s="1" t="n">
        <v>9</v>
      </c>
      <c r="G10" s="5" t="s">
        <v>48</v>
      </c>
      <c r="H10" s="1" t="n">
        <f aca="false">IFERROR(B10*3.12, "не загружена")</f>
        <v>3620.76</v>
      </c>
      <c r="I10" s="1" t="str">
        <f aca="false">"2Н 380В до "&amp;M10&amp;" с ПЧ"</f>
        <v>2Н 380В до  с ПЧ</v>
      </c>
      <c r="J10" s="9" t="n">
        <v>46372</v>
      </c>
      <c r="K10" s="1" t="n">
        <v>100</v>
      </c>
      <c r="M10" s="3"/>
    </row>
    <row r="11" customFormat="false" ht="13.2" hidden="false" customHeight="false" outlineLevel="0" collapsed="false">
      <c r="A11" s="1" t="s">
        <v>167</v>
      </c>
      <c r="B11" s="1" t="n">
        <v>1184</v>
      </c>
      <c r="C11" s="1" t="n">
        <v>1</v>
      </c>
      <c r="D11" s="1" t="s">
        <v>106</v>
      </c>
      <c r="E11" s="1" t="n">
        <v>2</v>
      </c>
      <c r="F11" s="1" t="n">
        <v>10</v>
      </c>
      <c r="G11" s="5" t="s">
        <v>48</v>
      </c>
      <c r="H11" s="1" t="n">
        <f aca="false">IFERROR(B11*3.12, "не загружена")</f>
        <v>3694.08</v>
      </c>
      <c r="I11" s="1" t="str">
        <f aca="false">"2Н 380В до "&amp;M11&amp;" с ПЧ"</f>
        <v>2Н 380В до  с ПЧ</v>
      </c>
      <c r="J11" s="9" t="n">
        <v>46372</v>
      </c>
      <c r="K11" s="1" t="n">
        <v>100</v>
      </c>
      <c r="M11" s="3"/>
    </row>
    <row r="12" customFormat="false" ht="13.2" hidden="false" customHeight="false" outlineLevel="0" collapsed="false">
      <c r="A12" s="1" t="s">
        <v>168</v>
      </c>
      <c r="B12" s="1" t="n">
        <v>768</v>
      </c>
      <c r="C12" s="1" t="n">
        <v>1</v>
      </c>
      <c r="D12" s="1" t="s">
        <v>106</v>
      </c>
      <c r="E12" s="1" t="n">
        <v>3</v>
      </c>
      <c r="F12" s="1" t="n">
        <v>1</v>
      </c>
      <c r="G12" s="5" t="s">
        <v>48</v>
      </c>
      <c r="H12" s="1" t="n">
        <f aca="false">IFERROR(B12*3.12, "не загружена")</f>
        <v>2396.16</v>
      </c>
      <c r="I12" s="1" t="s">
        <v>169</v>
      </c>
      <c r="J12" s="9" t="n">
        <v>46372</v>
      </c>
      <c r="K12" s="1" t="n">
        <v>32</v>
      </c>
    </row>
    <row r="13" customFormat="false" ht="13.2" hidden="false" customHeight="false" outlineLevel="0" collapsed="false">
      <c r="A13" s="1" t="s">
        <v>170</v>
      </c>
      <c r="B13" s="1" t="n">
        <v>777</v>
      </c>
      <c r="C13" s="1" t="n">
        <v>1</v>
      </c>
      <c r="D13" s="1" t="s">
        <v>106</v>
      </c>
      <c r="E13" s="1" t="n">
        <v>3</v>
      </c>
      <c r="F13" s="1" t="n">
        <v>2</v>
      </c>
      <c r="G13" s="5" t="s">
        <v>48</v>
      </c>
      <c r="H13" s="1" t="n">
        <f aca="false">IFERROR(B13*3.12, "не загружена")</f>
        <v>2424.24</v>
      </c>
      <c r="I13" s="1" t="s">
        <v>171</v>
      </c>
      <c r="J13" s="9" t="n">
        <v>46372</v>
      </c>
      <c r="K13" s="1" t="n">
        <v>32</v>
      </c>
    </row>
    <row r="14" customFormat="false" ht="13.2" hidden="false" customHeight="false" outlineLevel="0" collapsed="false">
      <c r="A14" s="1" t="s">
        <v>172</v>
      </c>
      <c r="B14" s="1" t="n">
        <v>811</v>
      </c>
      <c r="C14" s="1" t="n">
        <v>1</v>
      </c>
      <c r="D14" s="1" t="s">
        <v>106</v>
      </c>
      <c r="E14" s="1" t="n">
        <v>3</v>
      </c>
      <c r="F14" s="1" t="n">
        <v>3</v>
      </c>
      <c r="G14" s="5" t="s">
        <v>48</v>
      </c>
      <c r="H14" s="1" t="n">
        <f aca="false">IFERROR(B14*3.12, "не загружена")</f>
        <v>2530.32</v>
      </c>
      <c r="I14" s="1" t="s">
        <v>173</v>
      </c>
      <c r="J14" s="9" t="n">
        <v>46372</v>
      </c>
      <c r="K14" s="1" t="n">
        <v>32</v>
      </c>
    </row>
    <row r="15" customFormat="false" ht="13.2" hidden="false" customHeight="false" outlineLevel="0" collapsed="false">
      <c r="A15" s="1" t="s">
        <v>174</v>
      </c>
      <c r="B15" s="1" t="n">
        <v>885</v>
      </c>
      <c r="C15" s="1" t="n">
        <v>1</v>
      </c>
      <c r="D15" s="1" t="s">
        <v>106</v>
      </c>
      <c r="E15" s="1" t="n">
        <v>3</v>
      </c>
      <c r="F15" s="1" t="n">
        <v>4</v>
      </c>
      <c r="G15" s="5" t="s">
        <v>48</v>
      </c>
      <c r="H15" s="1" t="n">
        <f aca="false">IFERROR(B15*3.12, "не загружена")</f>
        <v>2761.2</v>
      </c>
      <c r="I15" s="1" t="s">
        <v>175</v>
      </c>
      <c r="J15" s="9" t="n">
        <v>46372</v>
      </c>
      <c r="K15" s="1" t="n">
        <v>63</v>
      </c>
    </row>
    <row r="16" customFormat="false" ht="13.2" hidden="false" customHeight="false" outlineLevel="0" collapsed="false">
      <c r="A16" s="1" t="s">
        <v>176</v>
      </c>
      <c r="B16" s="1" t="n">
        <v>1021.5</v>
      </c>
      <c r="C16" s="1" t="n">
        <v>1</v>
      </c>
      <c r="D16" s="1" t="s">
        <v>106</v>
      </c>
      <c r="E16" s="1" t="n">
        <v>3</v>
      </c>
      <c r="F16" s="1" t="n">
        <v>5</v>
      </c>
      <c r="G16" s="5" t="s">
        <v>48</v>
      </c>
      <c r="H16" s="1" t="n">
        <f aca="false">IFERROR(B16*3.12, "не загружена")</f>
        <v>3187.08</v>
      </c>
      <c r="I16" s="1" t="s">
        <v>177</v>
      </c>
      <c r="J16" s="9" t="n">
        <v>46372</v>
      </c>
      <c r="K16" s="1" t="n">
        <v>63</v>
      </c>
    </row>
    <row r="17" customFormat="false" ht="13.2" hidden="false" customHeight="false" outlineLevel="0" collapsed="false">
      <c r="A17" s="1" t="s">
        <v>178</v>
      </c>
      <c r="B17" s="1" t="n">
        <v>1123</v>
      </c>
      <c r="C17" s="1" t="n">
        <v>1</v>
      </c>
      <c r="D17" s="1" t="s">
        <v>106</v>
      </c>
      <c r="E17" s="1" t="n">
        <v>3</v>
      </c>
      <c r="F17" s="1" t="n">
        <v>6</v>
      </c>
      <c r="G17" s="5" t="s">
        <v>48</v>
      </c>
      <c r="H17" s="1" t="n">
        <f aca="false">IFERROR(B17*3.12, "не загружена")</f>
        <v>3503.76</v>
      </c>
      <c r="I17" s="1" t="s">
        <v>179</v>
      </c>
      <c r="J17" s="9" t="n">
        <v>46372</v>
      </c>
      <c r="K17" s="1" t="n">
        <v>100</v>
      </c>
    </row>
    <row r="18" customFormat="false" ht="13.2" hidden="false" customHeight="false" outlineLevel="0" collapsed="false">
      <c r="A18" s="1" t="s">
        <v>180</v>
      </c>
      <c r="B18" s="1" t="n">
        <v>1231</v>
      </c>
      <c r="C18" s="1" t="n">
        <v>1</v>
      </c>
      <c r="D18" s="1" t="s">
        <v>106</v>
      </c>
      <c r="E18" s="1" t="n">
        <v>3</v>
      </c>
      <c r="F18" s="1" t="n">
        <v>7</v>
      </c>
      <c r="G18" s="5" t="s">
        <v>48</v>
      </c>
      <c r="H18" s="1" t="n">
        <f aca="false">IFERROR(B18*3.12, "не загружена")</f>
        <v>3840.72</v>
      </c>
      <c r="I18" s="1" t="s">
        <v>181</v>
      </c>
      <c r="J18" s="9" t="n">
        <v>46372</v>
      </c>
      <c r="K18" s="1" t="n">
        <v>125</v>
      </c>
    </row>
    <row r="19" customFormat="false" ht="13.2" hidden="false" customHeight="false" outlineLevel="0" collapsed="false">
      <c r="A19" s="1" t="s">
        <v>182</v>
      </c>
      <c r="B19" s="1" t="n">
        <v>1418.5</v>
      </c>
      <c r="C19" s="1" t="n">
        <v>1</v>
      </c>
      <c r="D19" s="1" t="s">
        <v>106</v>
      </c>
      <c r="E19" s="1" t="n">
        <v>3</v>
      </c>
      <c r="F19" s="1" t="n">
        <v>8</v>
      </c>
      <c r="G19" s="5" t="s">
        <v>48</v>
      </c>
      <c r="H19" s="1" t="n">
        <f aca="false">IFERROR(B19*3.12, "не загружена")</f>
        <v>4425.72</v>
      </c>
      <c r="I19" s="1" t="s">
        <v>183</v>
      </c>
      <c r="J19" s="9" t="n">
        <v>46372</v>
      </c>
      <c r="K19" s="1" t="n">
        <v>125</v>
      </c>
    </row>
    <row r="20" customFormat="false" ht="13.2" hidden="false" customHeight="false" outlineLevel="0" collapsed="false">
      <c r="A20" s="1" t="s">
        <v>184</v>
      </c>
      <c r="B20" s="1" t="n">
        <v>1715.5</v>
      </c>
      <c r="C20" s="1" t="n">
        <v>1</v>
      </c>
      <c r="D20" s="1" t="s">
        <v>106</v>
      </c>
      <c r="E20" s="1" t="n">
        <v>3</v>
      </c>
      <c r="F20" s="1" t="n">
        <v>9</v>
      </c>
      <c r="G20" s="5" t="s">
        <v>48</v>
      </c>
      <c r="H20" s="1" t="n">
        <f aca="false">IFERROR(B20*3.12, "не загружена")</f>
        <v>5352.36</v>
      </c>
      <c r="I20" s="1" t="s">
        <v>185</v>
      </c>
      <c r="J20" s="9" t="n">
        <v>46372</v>
      </c>
      <c r="K20" s="1" t="n">
        <v>160</v>
      </c>
    </row>
    <row r="21" customFormat="false" ht="13.2" hidden="false" customHeight="false" outlineLevel="0" collapsed="false">
      <c r="A21" s="1" t="s">
        <v>186</v>
      </c>
      <c r="B21" s="1" t="n">
        <v>1778.5</v>
      </c>
      <c r="C21" s="1" t="n">
        <v>1</v>
      </c>
      <c r="D21" s="1" t="s">
        <v>106</v>
      </c>
      <c r="E21" s="1" t="n">
        <v>3</v>
      </c>
      <c r="F21" s="1" t="n">
        <v>10</v>
      </c>
      <c r="G21" s="5" t="s">
        <v>48</v>
      </c>
      <c r="H21" s="1" t="n">
        <f aca="false">IFERROR(B21*3.12, "не загружена")</f>
        <v>5548.92</v>
      </c>
      <c r="I21" s="1" t="s">
        <v>187</v>
      </c>
      <c r="J21" s="9" t="n">
        <v>46372</v>
      </c>
      <c r="K21" s="1" t="n">
        <v>160</v>
      </c>
    </row>
    <row r="22" customFormat="false" ht="13.2" hidden="false" customHeight="false" outlineLevel="0" collapsed="false">
      <c r="A22" s="1" t="s">
        <v>188</v>
      </c>
      <c r="B22" s="1" t="n">
        <v>964.5</v>
      </c>
      <c r="C22" s="1" t="n">
        <v>1</v>
      </c>
      <c r="D22" s="1" t="s">
        <v>106</v>
      </c>
      <c r="E22" s="1" t="n">
        <v>4</v>
      </c>
      <c r="F22" s="1" t="n">
        <v>1</v>
      </c>
      <c r="G22" s="5" t="s">
        <v>48</v>
      </c>
      <c r="H22" s="1" t="n">
        <f aca="false">IFERROR(B22*3.12, "не загружена")</f>
        <v>3009.24</v>
      </c>
      <c r="I22" s="1" t="s">
        <v>189</v>
      </c>
      <c r="J22" s="9" t="n">
        <v>46372</v>
      </c>
      <c r="K22" s="1" t="n">
        <v>32</v>
      </c>
    </row>
    <row r="23" customFormat="false" ht="13.2" hidden="false" customHeight="false" outlineLevel="0" collapsed="false">
      <c r="A23" s="1" t="s">
        <v>190</v>
      </c>
      <c r="B23" s="1" t="n">
        <v>976.5</v>
      </c>
      <c r="C23" s="1" t="n">
        <v>1</v>
      </c>
      <c r="D23" s="1" t="s">
        <v>106</v>
      </c>
      <c r="E23" s="1" t="n">
        <v>4</v>
      </c>
      <c r="F23" s="1" t="n">
        <v>2</v>
      </c>
      <c r="G23" s="5" t="s">
        <v>48</v>
      </c>
      <c r="H23" s="1" t="n">
        <f aca="false">IFERROR(B23*3.12, "не загружена")</f>
        <v>3046.68</v>
      </c>
      <c r="I23" s="1" t="s">
        <v>191</v>
      </c>
      <c r="J23" s="9" t="n">
        <v>46372</v>
      </c>
      <c r="K23" s="1" t="n">
        <v>32</v>
      </c>
    </row>
    <row r="24" customFormat="false" ht="13.2" hidden="false" customHeight="false" outlineLevel="0" collapsed="false">
      <c r="A24" s="1" t="s">
        <v>192</v>
      </c>
      <c r="B24" s="1" t="n">
        <v>988.5</v>
      </c>
      <c r="C24" s="1" t="n">
        <v>1</v>
      </c>
      <c r="D24" s="1" t="s">
        <v>106</v>
      </c>
      <c r="E24" s="1" t="n">
        <v>4</v>
      </c>
      <c r="F24" s="1" t="n">
        <v>3</v>
      </c>
      <c r="G24" s="5" t="s">
        <v>48</v>
      </c>
      <c r="H24" s="1" t="n">
        <f aca="false">IFERROR(B24*3.12, "не загружена")</f>
        <v>3084.12</v>
      </c>
      <c r="I24" s="1" t="s">
        <v>193</v>
      </c>
      <c r="J24" s="9" t="n">
        <v>46372</v>
      </c>
      <c r="K24" s="1" t="n">
        <v>32</v>
      </c>
    </row>
    <row r="25" customFormat="false" ht="13.2" hidden="false" customHeight="false" outlineLevel="0" collapsed="false">
      <c r="A25" s="1" t="s">
        <v>194</v>
      </c>
      <c r="B25" s="1" t="n">
        <v>1099</v>
      </c>
      <c r="C25" s="1" t="n">
        <v>1</v>
      </c>
      <c r="D25" s="1" t="s">
        <v>106</v>
      </c>
      <c r="E25" s="1" t="n">
        <v>4</v>
      </c>
      <c r="F25" s="1" t="n">
        <v>4</v>
      </c>
      <c r="G25" s="5" t="s">
        <v>48</v>
      </c>
      <c r="H25" s="1" t="n">
        <f aca="false">IFERROR(B25*3.12, "не загружена")</f>
        <v>3428.88</v>
      </c>
      <c r="I25" s="1" t="s">
        <v>195</v>
      </c>
      <c r="J25" s="9" t="n">
        <v>46372</v>
      </c>
      <c r="K25" s="1" t="n">
        <v>63</v>
      </c>
    </row>
    <row r="26" customFormat="false" ht="13.2" hidden="false" customHeight="false" outlineLevel="0" collapsed="false">
      <c r="A26" s="1" t="s">
        <v>196</v>
      </c>
      <c r="B26" s="1" t="n">
        <v>1219</v>
      </c>
      <c r="C26" s="1" t="n">
        <v>1</v>
      </c>
      <c r="D26" s="1" t="s">
        <v>106</v>
      </c>
      <c r="E26" s="1" t="n">
        <v>4</v>
      </c>
      <c r="F26" s="1" t="n">
        <v>5</v>
      </c>
      <c r="G26" s="5" t="s">
        <v>48</v>
      </c>
      <c r="H26" s="1" t="n">
        <f aca="false">IFERROR(B26*3.12, "не загружена")</f>
        <v>3803.28</v>
      </c>
      <c r="I26" s="1" t="s">
        <v>197</v>
      </c>
      <c r="J26" s="9" t="n">
        <v>46372</v>
      </c>
      <c r="K26" s="1" t="n">
        <v>63</v>
      </c>
    </row>
    <row r="27" customFormat="false" ht="13.2" hidden="false" customHeight="false" outlineLevel="0" collapsed="false">
      <c r="A27" s="1" t="s">
        <v>198</v>
      </c>
      <c r="B27" s="1" t="n">
        <v>2230</v>
      </c>
      <c r="C27" s="1" t="n">
        <v>1</v>
      </c>
      <c r="D27" s="1" t="s">
        <v>106</v>
      </c>
      <c r="E27" s="1" t="n">
        <v>4</v>
      </c>
      <c r="F27" s="1" t="n">
        <v>6</v>
      </c>
      <c r="G27" s="5" t="s">
        <v>48</v>
      </c>
      <c r="H27" s="1" t="n">
        <f aca="false">IFERROR(B27*3.12, "не загружена")</f>
        <v>6957.6</v>
      </c>
      <c r="I27" s="1" t="s">
        <v>199</v>
      </c>
      <c r="J27" s="9" t="n">
        <v>46372</v>
      </c>
      <c r="K27" s="1" t="n">
        <v>100</v>
      </c>
    </row>
    <row r="28" customFormat="false" ht="13.2" hidden="false" customHeight="false" outlineLevel="0" collapsed="false">
      <c r="A28" s="1" t="s">
        <v>200</v>
      </c>
      <c r="B28" s="1" t="n">
        <v>2349</v>
      </c>
      <c r="C28" s="1" t="n">
        <v>1</v>
      </c>
      <c r="D28" s="1" t="s">
        <v>106</v>
      </c>
      <c r="E28" s="1" t="n">
        <v>4</v>
      </c>
      <c r="F28" s="1" t="n">
        <v>7</v>
      </c>
      <c r="G28" s="5" t="s">
        <v>48</v>
      </c>
      <c r="H28" s="1" t="n">
        <f aca="false">IFERROR(B28*3.12, "не загружена")</f>
        <v>7328.88</v>
      </c>
      <c r="I28" s="1" t="s">
        <v>201</v>
      </c>
      <c r="J28" s="9" t="n">
        <v>46372</v>
      </c>
      <c r="K28" s="1" t="n">
        <v>125</v>
      </c>
    </row>
    <row r="29" customFormat="false" ht="13.2" hidden="false" customHeight="false" outlineLevel="0" collapsed="false">
      <c r="A29" s="1" t="s">
        <v>202</v>
      </c>
      <c r="B29" s="1" t="n">
        <v>3739.5</v>
      </c>
      <c r="C29" s="1" t="n">
        <v>1</v>
      </c>
      <c r="D29" s="1" t="s">
        <v>106</v>
      </c>
      <c r="E29" s="1" t="n">
        <v>4</v>
      </c>
      <c r="F29" s="1" t="n">
        <v>8</v>
      </c>
      <c r="G29" s="5" t="s">
        <v>48</v>
      </c>
      <c r="H29" s="1" t="n">
        <f aca="false">IFERROR(B29*3.12, "не загружена")</f>
        <v>11667.24</v>
      </c>
      <c r="I29" s="1" t="s">
        <v>203</v>
      </c>
      <c r="J29" s="9" t="n">
        <v>46372</v>
      </c>
      <c r="K29" s="1" t="n">
        <v>160</v>
      </c>
    </row>
    <row r="30" customFormat="false" ht="13.2" hidden="false" customHeight="false" outlineLevel="0" collapsed="false">
      <c r="A30" s="1" t="s">
        <v>204</v>
      </c>
      <c r="B30" s="1" t="n">
        <v>3956.5</v>
      </c>
      <c r="C30" s="1" t="n">
        <v>1</v>
      </c>
      <c r="D30" s="1" t="s">
        <v>106</v>
      </c>
      <c r="E30" s="1" t="n">
        <v>4</v>
      </c>
      <c r="F30" s="1" t="n">
        <v>9</v>
      </c>
      <c r="G30" s="5" t="s">
        <v>48</v>
      </c>
      <c r="H30" s="1" t="n">
        <f aca="false">IFERROR(B30*3.12, "не загружена")</f>
        <v>12344.28</v>
      </c>
      <c r="I30" s="1" t="s">
        <v>205</v>
      </c>
      <c r="J30" s="9" t="n">
        <v>46372</v>
      </c>
      <c r="K30" s="1" t="n">
        <v>160</v>
      </c>
    </row>
    <row r="31" customFormat="false" ht="13.2" hidden="false" customHeight="false" outlineLevel="0" collapsed="false">
      <c r="A31" s="1" t="s">
        <v>206</v>
      </c>
      <c r="B31" s="1" t="n">
        <v>4047.5</v>
      </c>
      <c r="C31" s="1" t="n">
        <v>1</v>
      </c>
      <c r="D31" s="1" t="s">
        <v>106</v>
      </c>
      <c r="E31" s="1" t="n">
        <v>4</v>
      </c>
      <c r="F31" s="1" t="n">
        <v>10</v>
      </c>
      <c r="G31" s="5" t="s">
        <v>48</v>
      </c>
      <c r="H31" s="1" t="n">
        <f aca="false">IFERROR(B31*3.12, "не загружена")</f>
        <v>12628.2</v>
      </c>
      <c r="I31" s="1" t="s">
        <v>207</v>
      </c>
      <c r="J31" s="9" t="n">
        <v>46372</v>
      </c>
      <c r="K31" s="1" t="n">
        <v>200</v>
      </c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2026-09-09T11:41:07Z</dcterms:created>
  <dc:creator/>
  <dc:description/>
  <dc:language>ru-RU</dc:language>
  <cp:lastModifiedBy/>
  <dcterms:modified xsi:type="dcterms:W3CDTF">2026-10-27T11:01:09Z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