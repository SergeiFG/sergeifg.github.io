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575" windowHeight="17775" activeTab="3"/>
  </bookViews>
  <sheets>
    <sheet name="Исходные данные" sheetId="1" r:id="rId1"/>
    <sheet name="Лист подбора" sheetId="2" r:id="rId2"/>
    <sheet name="Подбор" sheetId="3" r:id="rId3"/>
    <sheet name="диапазоны" sheetId="4" r:id="rId4"/>
    <sheet name="Статистика применения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<sst xmlns="http://schemas.openxmlformats.org/spreadsheetml/2006/main" count="298" uniqueCount="159">
  <si>
    <t>Контур 1</t>
  </si>
  <si>
    <t>СО</t>
  </si>
  <si>
    <t>Контур 2</t>
  </si>
  <si>
    <t>Число циркуляционных насосов</t>
  </si>
  <si>
    <t>Напряжение питания насосов</t>
  </si>
  <si>
    <t>3x400 В</t>
  </si>
  <si>
    <t>Мощность насосов</t>
  </si>
  <si>
    <t>Ток насосов, А</t>
  </si>
  <si>
    <t>Наличие ПЧ</t>
  </si>
  <si>
    <t>Наличие подпитки</t>
  </si>
  <si>
    <t>Число насосов</t>
  </si>
  <si>
    <t>Ток насосов</t>
  </si>
  <si>
    <t>Дополнительные датчики на мониторинг (ECL-3R MM)</t>
  </si>
  <si>
    <t>Шкаф для БТП (ECL Connect), Если шкафов для БТП несколько, поставить галочку только для одного</t>
  </si>
  <si>
    <t>Результат:</t>
  </si>
  <si>
    <t>Номер коммерческого предложения:</t>
  </si>
  <si>
    <t>Дата выставления КП:</t>
  </si>
  <si>
    <t>Срок поставки:</t>
  </si>
  <si>
    <t>35 календарных дней с момента оплаты и получения согласованного задания заводу-изготовителю</t>
  </si>
  <si>
    <t>Условия платежа*:</t>
  </si>
  <si>
    <t>Предоплата 100%</t>
  </si>
  <si>
    <t>Условия отгрузки*:</t>
  </si>
  <si>
    <t>Самовывоз со склада ООО "Ридан", Московская область</t>
  </si>
  <si>
    <t>Согласно представленных Вами данных** подобрано следующее оборудование:</t>
  </si>
  <si>
    <t>№</t>
  </si>
  <si>
    <t>Описание</t>
  </si>
  <si>
    <t>Номер расчёта</t>
  </si>
  <si>
    <t>Кол-во, шт.</t>
  </si>
  <si>
    <t>Цена, евро без НДС</t>
  </si>
  <si>
    <t>ША</t>
  </si>
  <si>
    <t>ШУН контур 1</t>
  </si>
  <si>
    <t>ШУН контур 2</t>
  </si>
  <si>
    <t>ШУН подпитка</t>
  </si>
  <si>
    <t>Цена указана на условиях самовывоза со склада в Московской области и действительна в течение 1 месяц с даты настоящего коммерческого предложения при условии сохранения исходных данных без изменений</t>
  </si>
  <si>
    <t>В стоимость входит: разработка проектной документации, комплектующие, сборка ША</t>
  </si>
  <si>
    <t>Эл. схема ША может быть предоставлена на согласование после разработки (по запросу)</t>
  </si>
  <si>
    <t>Гарантия на ША Ридан - 1 год</t>
  </si>
  <si>
    <t>Для покупки ША необходимо обратиться к официальным партнерам производителя в Вашем регионе.</t>
  </si>
  <si>
    <t>С актуальным списком всех официальных партнеров  можно ознакомиться на сайте: www.ridan.ru или обратившись по тел: 7 (495) 792-57-57</t>
  </si>
  <si>
    <t>* - стандартные условия поставки, при дополнительном согласовании есть возможность получения специальных условий</t>
  </si>
  <si>
    <t>Подпитка</t>
  </si>
  <si>
    <t>диапазон тока без ПЧ</t>
  </si>
  <si>
    <t>Диапазон с ПЧ</t>
  </si>
  <si>
    <t>Код ША</t>
  </si>
  <si>
    <t>нужен</t>
  </si>
  <si>
    <t>контуры</t>
  </si>
  <si>
    <t>ММ</t>
  </si>
  <si>
    <t>БТП</t>
  </si>
  <si>
    <t>ШУН 1</t>
  </si>
  <si>
    <t>ПЧ</t>
  </si>
  <si>
    <t>Напряжение</t>
  </si>
  <si>
    <t>Диапазон</t>
  </si>
  <si>
    <t>ШУН 2</t>
  </si>
  <si>
    <t>ШУН подп</t>
  </si>
  <si>
    <t>нижняя граница</t>
  </si>
  <si>
    <t>тип</t>
  </si>
  <si>
    <t>номинал</t>
  </si>
  <si>
    <t>0,4-0,63</t>
  </si>
  <si>
    <t>0,75 кВт</t>
  </si>
  <si>
    <t>0,63-1</t>
  </si>
  <si>
    <t>1,5 кВт</t>
  </si>
  <si>
    <t>1-1,6</t>
  </si>
  <si>
    <t>2,2 кВт</t>
  </si>
  <si>
    <t>1,6-2,5</t>
  </si>
  <si>
    <t>4 кВт</t>
  </si>
  <si>
    <t>2,5-4</t>
  </si>
  <si>
    <t>5,5 кВт</t>
  </si>
  <si>
    <t>4-6,3</t>
  </si>
  <si>
    <t>7,5 кВт</t>
  </si>
  <si>
    <t>6-10</t>
  </si>
  <si>
    <t>11 кВт</t>
  </si>
  <si>
    <t>9-14</t>
  </si>
  <si>
    <t>15 кВт</t>
  </si>
  <si>
    <t>13-18</t>
  </si>
  <si>
    <t>18,5 кВт</t>
  </si>
  <si>
    <t>17-23</t>
  </si>
  <si>
    <t>22 кВт</t>
  </si>
  <si>
    <t>20-25</t>
  </si>
  <si>
    <t>не подходит</t>
  </si>
  <si>
    <t>24-32</t>
  </si>
  <si>
    <t>25-40</t>
  </si>
  <si>
    <t>40-63</t>
  </si>
  <si>
    <t>56-80</t>
  </si>
  <si>
    <t>Код</t>
  </si>
  <si>
    <t>Цена</t>
  </si>
  <si>
    <t>Контур1</t>
  </si>
  <si>
    <t>Контур2</t>
  </si>
  <si>
    <t>Номер следующей версии</t>
  </si>
  <si>
    <t>BST0105260001</t>
  </si>
  <si>
    <t>ГВС</t>
  </si>
  <si>
    <t>BST0105260002</t>
  </si>
  <si>
    <t>BST0105260003</t>
  </si>
  <si>
    <t>BST0105260004</t>
  </si>
  <si>
    <t>пока не будем использовать</t>
  </si>
  <si>
    <t>СО*</t>
  </si>
  <si>
    <t>BST0105260101</t>
  </si>
  <si>
    <t>BST0105260102</t>
  </si>
  <si>
    <t>BST0105260103</t>
  </si>
  <si>
    <t>BST0105260104</t>
  </si>
  <si>
    <t>BST0105260201</t>
  </si>
  <si>
    <t>BST0105260202</t>
  </si>
  <si>
    <t>BST0105260203</t>
  </si>
  <si>
    <t>Насосы</t>
  </si>
  <si>
    <t>BST0105261201</t>
  </si>
  <si>
    <t>1x230 В</t>
  </si>
  <si>
    <t>BST0105261202</t>
  </si>
  <si>
    <t>BST0105261203</t>
  </si>
  <si>
    <t>BST0105261204</t>
  </si>
  <si>
    <t>BST0105261205</t>
  </si>
  <si>
    <t>BST0105261206</t>
  </si>
  <si>
    <t>не загружена</t>
  </si>
  <si>
    <t>BST0105261207</t>
  </si>
  <si>
    <t>BST0105261208</t>
  </si>
  <si>
    <t>BST0105261209</t>
  </si>
  <si>
    <t>BST0105261210</t>
  </si>
  <si>
    <t>BST0105261211</t>
  </si>
  <si>
    <t>BST0105261212</t>
  </si>
  <si>
    <t>BST0105261213</t>
  </si>
  <si>
    <t>BST0105261214</t>
  </si>
  <si>
    <t>BST0105261215</t>
  </si>
  <si>
    <t>BST0105261216</t>
  </si>
  <si>
    <t>BST0105261217</t>
  </si>
  <si>
    <t>BST0105262201</t>
  </si>
  <si>
    <t>BST0105262202</t>
  </si>
  <si>
    <t>BST0105262203</t>
  </si>
  <si>
    <t>BST0105262204</t>
  </si>
  <si>
    <t>BST0105262205</t>
  </si>
  <si>
    <t>BST0105262206</t>
  </si>
  <si>
    <t>BST0105262207</t>
  </si>
  <si>
    <t>BST0105262208</t>
  </si>
  <si>
    <t>BST0105262209</t>
  </si>
  <si>
    <t>BST0105262210</t>
  </si>
  <si>
    <t>BST0105262211</t>
  </si>
  <si>
    <t>BST0105262212</t>
  </si>
  <si>
    <t>BST0105262213</t>
  </si>
  <si>
    <t>BST0105262214</t>
  </si>
  <si>
    <t>BST0105262215</t>
  </si>
  <si>
    <t>BST0105262216</t>
  </si>
  <si>
    <t>BST0105262217</t>
  </si>
  <si>
    <t>BST0105263201</t>
  </si>
  <si>
    <t>BST0105263202</t>
  </si>
  <si>
    <t>BST0105263203</t>
  </si>
  <si>
    <t>BST0105263204</t>
  </si>
  <si>
    <t>BST0105263205</t>
  </si>
  <si>
    <t>BST0105263206</t>
  </si>
  <si>
    <t>BST0105263207</t>
  </si>
  <si>
    <t>BST0105263208</t>
  </si>
  <si>
    <t>BST0105263209</t>
  </si>
  <si>
    <t>BST0105263210</t>
  </si>
  <si>
    <t>Объект CRM</t>
  </si>
  <si>
    <t>Расчётчик</t>
  </si>
  <si>
    <t>Стандартный шкаф</t>
  </si>
  <si>
    <t>Почему не получилось применить стандарный шкаф</t>
  </si>
  <si>
    <t>Газизов А.Р.</t>
  </si>
  <si>
    <t>Менеджер попросил сделать 1 общий шкаф</t>
  </si>
  <si>
    <t>Богданов</t>
  </si>
  <si>
    <t>Курбакова А.Ю.</t>
  </si>
  <si>
    <t>Карелина А.Н.</t>
  </si>
  <si>
    <t>Сафин И 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</si>
</sst>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dd\.mm\.yyyy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rgb="FF000000"/>
      <name val="&quot;Segoe UI&quot;"/>
      <charset val="134"/>
    </font>
    <font>
      <b/>
      <sz val="10"/>
      <color theme="1"/>
      <name val="Times New Roman"/>
      <charset val="134"/>
    </font>
    <font>
      <b/>
      <sz val="10"/>
      <color rgb="FF000000"/>
      <name val="Times New Roman"/>
      <charset val="134"/>
    </font>
    <font>
      <sz val="1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1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0" fontId="1" fillId="4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8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wrapText="1"/>
    </xf>
    <xf numFmtId="0" fontId="1" fillId="0" borderId="1" xfId="0" applyFont="1" applyBorder="1" applyAlignment="1"/>
    <xf numFmtId="0" fontId="1" fillId="0" borderId="1" xfId="0" applyFont="1" applyBorder="1"/>
    <xf numFmtId="4" fontId="1" fillId="0" borderId="1" xfId="0" applyNumberFormat="1" applyFont="1" applyBorder="1" applyAlignment="1"/>
    <xf numFmtId="0" fontId="1" fillId="0" borderId="2" xfId="0" applyFont="1" applyBorder="1" applyAlignment="1"/>
    <xf numFmtId="0" fontId="5" fillId="0" borderId="3" xfId="0" applyFont="1" applyBorder="1"/>
    <xf numFmtId="0" fontId="5" fillId="0" borderId="4" xfId="0" applyFont="1" applyBorder="1"/>
    <xf numFmtId="0" fontId="1" fillId="0" borderId="0" xfId="0" applyFont="1" applyAlignment="1">
      <alignment wrapText="1"/>
    </xf>
    <xf numFmtId="4" fontId="1" fillId="0" borderId="0" xfId="0" applyNumberFormat="1" applyFont="1" applyAlignment="1"/>
    <xf numFmtId="0" fontId="1" fillId="5" borderId="0" xfId="0" applyFont="1" applyFill="1" applyAlignment="1"/>
    <xf numFmtId="4" fontId="1" fillId="0" borderId="0" xfId="0" applyNumberFormat="1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34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диапазоны-style" pivot="0" count="4" xr9:uid="{4B45EC44-3E3F-474D-853E-063A57335ADB}">
      <tableStyleElement type="wholeTable" dxfId="21"/>
      <tableStyleElement type="headerRow" dxfId="20"/>
      <tableStyleElement type="firstRowStripe" dxfId="19"/>
      <tableStyleElement type="secondRowStripe" dxfId="18"/>
    </tableStyle>
    <tableStyle name="диапазоны-style 2" pivot="0" count="4" xr9:uid="{65EC61A5-B7E2-4B89-962C-20BA32C8EC88}">
      <tableStyleElement type="wholeTable" dxfId="25"/>
      <tableStyleElement type="headerRow" dxfId="24"/>
      <tableStyleElement type="firstRowStripe" dxfId="23"/>
      <tableStyleElement type="secondRowStripe" dxfId="22"/>
    </tableStyle>
    <tableStyle name="диапазоны-style 3" pivot="0" count="4" xr9:uid="{D1221ACC-28EA-416F-9E8C-3684AC4434CA}">
      <tableStyleElement type="wholeTable" dxfId="29"/>
      <tableStyleElement type="headerRow" dxfId="28"/>
      <tableStyleElement type="firstRowStripe" dxfId="27"/>
      <tableStyleElement type="secondRowStripe" dxfId="26"/>
    </tableStyle>
    <tableStyle name="диапазоны-style 4" pivot="0" count="4" xr9:uid="{FCDD6E9E-B966-495F-BC80-99B2FD612644}">
      <tableStyleElement type="wholeTable" dxfId="33"/>
      <tableStyleElement type="headerRow" dxfId="32"/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3</xdr:row>
      <xdr:rowOff>0</xdr:rowOff>
    </xdr:from>
    <xdr:ext cx="12296775" cy="4667250"/>
    <xdr:pic>
      <xdr:nvPicPr>
        <xdr:cNvPr id="2" name="image1.png" title="Изображение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977630" y="600075"/>
          <a:ext cx="12296775" cy="4667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10267950" cy="4619625"/>
    <xdr:pic>
      <xdr:nvPicPr>
        <xdr:cNvPr id="3" name="image3.png" title="Изображение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977630" y="5600700"/>
          <a:ext cx="10267950" cy="46196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0</xdr:rowOff>
    </xdr:from>
    <xdr:ext cx="6496050" cy="790575"/>
    <xdr:pic>
      <xdr:nvPicPr>
        <xdr:cNvPr id="2" name="image2.png" title="Изображение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200025"/>
          <a:ext cx="6496050" cy="7905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Диапазон_токов_без_ПЧ" displayName="Диапазон_токов_без_ПЧ" ref="A2:C18">
  <tableColumns count="3">
    <tableColumn id="1" name="нижняя граница" dataDxfId="0"/>
    <tableColumn id="2" name="тип" dataDxfId="1"/>
    <tableColumn id="3" name="номинал" dataDxfId="2"/>
  </tableColumns>
  <tableStyleInfo name="диапазоны-style" showFirstColumn="1" showLastColumn="1" showRowStripes="1" showColumnStripes="0"/>
</table>
</file>

<file path=xl/tables/table2.xml><?xml version="1.0" encoding="utf-8"?>
<table xmlns="http://schemas.openxmlformats.org/spreadsheetml/2006/main" id="2" name="Диапазон_мощностей_ЧП" displayName="Диапазон_мощностей_ЧП" ref="E2:G13">
  <tableColumns count="3">
    <tableColumn id="1" name="нижняя граница" dataDxfId="3"/>
    <tableColumn id="2" name="тип" dataDxfId="4"/>
    <tableColumn id="3" name="номинал" dataDxfId="5"/>
  </tableColumns>
  <tableStyleInfo name="диапазоны-style 2" showFirstColumn="1" showLastColumn="1" showRowStripes="1" showColumnStripes="0"/>
</table>
</file>

<file path=xl/tables/table3.xml><?xml version="1.0" encoding="utf-8"?>
<table xmlns="http://schemas.openxmlformats.org/spreadsheetml/2006/main" id="3" name="База_ША" displayName="База_ША" ref="B21:H32">
  <tableColumns count="7">
    <tableColumn id="1" name="Код" dataDxfId="6"/>
    <tableColumn id="2" name="Цена" dataDxfId="7"/>
    <tableColumn id="3" name="Контур1" dataDxfId="8"/>
    <tableColumn id="4" name="Контур2" dataDxfId="9"/>
    <tableColumn id="5" name="ММ" dataDxfId="10"/>
    <tableColumn id="6" name="БТП" dataDxfId="11"/>
    <tableColumn id="7" name="Номер следующей версии"/>
  </tableColumns>
  <tableStyleInfo name="диапазоны-style 3" showFirstColumn="1" showLastColumn="1" showRowStripes="1" showColumnStripes="0"/>
</table>
</file>

<file path=xl/tables/table4.xml><?xml version="1.0" encoding="utf-8"?>
<table xmlns="http://schemas.openxmlformats.org/spreadsheetml/2006/main" id="4" name="База_ШУН" displayName="База_ШУН" ref="B38:H82">
  <tableColumns count="7">
    <tableColumn id="1" name="Код" dataDxfId="12"/>
    <tableColumn id="2" name="Цена" dataDxfId="13"/>
    <tableColumn id="3" name="ПЧ" dataDxfId="14"/>
    <tableColumn id="4" name="Напряжение" dataDxfId="15"/>
    <tableColumn id="5" name="Насосы" dataDxfId="16"/>
    <tableColumn id="6" name="Диапазон" dataDxfId="17"/>
    <tableColumn id="7" name="Номер следующей версии"/>
  </tableColumns>
  <tableStyleInfo name="диапазоны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F30"/>
  <sheetViews>
    <sheetView workbookViewId="0">
      <selection activeCell="A1" sqref="A1"/>
    </sheetView>
  </sheetViews>
  <sheetFormatPr defaultColWidth="12.6285714285714" defaultRowHeight="15.75" customHeight="1" outlineLevelCol="5"/>
  <cols>
    <col min="1" max="1" width="25.6285714285714" customWidth="1"/>
    <col min="3" max="3" width="20.247619047619" customWidth="1"/>
    <col min="4" max="4" width="31.3809523809524" customWidth="1"/>
    <col min="5" max="5" width="19.5047619047619" customWidth="1"/>
  </cols>
  <sheetData>
    <row r="2" customHeight="1" spans="1:5">
      <c r="A2" s="1" t="s">
        <v>0</v>
      </c>
      <c r="B2" s="1" t="s">
        <v>1</v>
      </c>
      <c r="D2" s="1" t="s">
        <v>2</v>
      </c>
      <c r="E2" s="1">
        <v>0</v>
      </c>
    </row>
    <row r="3" customHeight="1" spans="1:5">
      <c r="A3" s="1" t="s">
        <v>3</v>
      </c>
      <c r="B3" s="1">
        <v>2</v>
      </c>
      <c r="D3" s="1" t="s">
        <v>3</v>
      </c>
      <c r="E3" s="1">
        <v>0</v>
      </c>
    </row>
    <row r="4" customHeight="1" spans="1:5">
      <c r="A4" s="1" t="s">
        <v>4</v>
      </c>
      <c r="B4" s="1" t="s">
        <v>5</v>
      </c>
      <c r="D4" s="1" t="s">
        <v>4</v>
      </c>
      <c r="E4" s="1" t="s">
        <v>5</v>
      </c>
    </row>
    <row r="5" customHeight="1" spans="1:5">
      <c r="A5" s="1" t="s">
        <v>6</v>
      </c>
      <c r="B5" s="1">
        <v>6</v>
      </c>
      <c r="D5" s="1" t="s">
        <v>6</v>
      </c>
      <c r="E5" s="1">
        <v>0.37</v>
      </c>
    </row>
    <row r="6" customHeight="1" spans="1:5">
      <c r="A6" s="1" t="s">
        <v>7</v>
      </c>
      <c r="B6" s="28">
        <v>3.2</v>
      </c>
      <c r="D6" s="1" t="s">
        <v>7</v>
      </c>
      <c r="E6" s="28">
        <v>0.5</v>
      </c>
    </row>
    <row r="7" customHeight="1" spans="1:5">
      <c r="A7" s="1" t="s">
        <v>8</v>
      </c>
      <c r="B7" s="1" t="b">
        <v>1</v>
      </c>
      <c r="D7" s="1" t="s">
        <v>8</v>
      </c>
      <c r="E7" s="1" t="b">
        <v>0</v>
      </c>
    </row>
    <row r="9" customHeight="1" spans="1:5">
      <c r="A9" s="1" t="s">
        <v>9</v>
      </c>
      <c r="B9" s="1" t="b">
        <v>0</v>
      </c>
    </row>
    <row r="10" customHeight="1" spans="1:5">
      <c r="A10" s="1" t="s">
        <v>10</v>
      </c>
      <c r="B10" s="1">
        <v>0</v>
      </c>
    </row>
    <row r="11" customHeight="1" spans="1:5">
      <c r="A11" s="1" t="s">
        <v>4</v>
      </c>
      <c r="B11" s="1" t="s">
        <v>5</v>
      </c>
    </row>
    <row r="12" customHeight="1" spans="1:5">
      <c r="A12" s="1" t="s">
        <v>6</v>
      </c>
      <c r="B12" s="28">
        <v>1.1</v>
      </c>
      <c r="E12" s="28"/>
    </row>
    <row r="13" customHeight="1" spans="1:5">
      <c r="A13" s="1" t="s">
        <v>11</v>
      </c>
      <c r="B13" s="28">
        <v>3.2</v>
      </c>
    </row>
    <row r="14" customHeight="1" spans="1:5">
      <c r="A14" s="1" t="s">
        <v>8</v>
      </c>
      <c r="B14" s="29" t="b">
        <v>0</v>
      </c>
      <c r="E14" s="1"/>
    </row>
    <row r="18" customHeight="1" spans="1:6">
      <c r="A18" s="27" t="s">
        <v>12</v>
      </c>
      <c r="B18" s="1" t="b">
        <v>0</v>
      </c>
      <c r="D18" s="27" t="s">
        <v>13</v>
      </c>
      <c r="E18" s="1" t="b">
        <v>1</v>
      </c>
    </row>
    <row r="24" customHeight="1" spans="1:6">
      <c r="A24" s="1" t="s">
        <v>14</v>
      </c>
    </row>
    <row r="25" customHeight="1" spans="1:6">
      <c r="A25" s="3" t="str">
        <f>'Лист подбора'!A22</f>
        <v>№</v>
      </c>
      <c r="B25" s="3" t="str">
        <f>'Лист подбора'!B22</f>
        <v>Описание</v>
      </c>
      <c r="C25" s="3" t="str">
        <f>'Лист подбора'!C22</f>
        <v>Номер расчёта</v>
      </c>
      <c r="D25" s="3" t="str">
        <f>'Лист подбора'!D22</f>
        <v>Кол-во, шт.</v>
      </c>
      <c r="E25" s="3" t="str">
        <f>'Лист подбора'!E22</f>
        <v>Цена, евро без НДС</v>
      </c>
      <c r="F25" s="3">
        <f>'Лист подбора'!F22</f>
        <v>0</v>
      </c>
    </row>
    <row r="26" customHeight="1" spans="1:6">
      <c r="A26" s="3">
        <f>'Лист подбора'!A23</f>
        <v>1</v>
      </c>
      <c r="B26" s="3" t="str">
        <f>'Лист подбора'!B23</f>
        <v>ША</v>
      </c>
      <c r="C26" s="3" t="str">
        <f>'Лист подбора'!C23</f>
        <v>BST0105260002</v>
      </c>
      <c r="D26" s="1">
        <v>1</v>
      </c>
      <c r="E26" s="3">
        <f>'Лист подбора'!E23</f>
        <v>1413.9</v>
      </c>
      <c r="F26" s="30">
        <f>'Лист подбора'!F23</f>
        <v>0</v>
      </c>
    </row>
    <row r="27" customHeight="1" spans="1:6">
      <c r="A27" s="3">
        <f>'Лист подбора'!A24</f>
        <v>2</v>
      </c>
      <c r="B27" s="3" t="str">
        <f>'Лист подбора'!B24</f>
        <v>ШУН контур 1</v>
      </c>
      <c r="C27" s="3" t="str">
        <f>'Лист подбора'!C24</f>
        <v>BST0105263206</v>
      </c>
      <c r="D27" s="1">
        <v>1</v>
      </c>
      <c r="E27" s="3" t="str">
        <f>'Лист подбора'!E24</f>
        <v>не загружена</v>
      </c>
      <c r="F27" s="30">
        <f>'Лист подбора'!F24</f>
        <v>0</v>
      </c>
    </row>
    <row r="28" customHeight="1" spans="1:6">
      <c r="A28" s="3">
        <f>'Лист подбора'!A25</f>
        <v>3</v>
      </c>
      <c r="B28" s="3" t="str">
        <f>'Лист подбора'!B25</f>
        <v>ШУН контур 2</v>
      </c>
      <c r="C28" s="3" t="str">
        <f>'Лист подбора'!C25</f>
        <v>#N/A</v>
      </c>
      <c r="D28" s="3">
        <f>'Лист подбора'!D25</f>
        <v>1</v>
      </c>
      <c r="E28" s="3">
        <f>'Лист подбора'!E25</f>
        <v>0</v>
      </c>
      <c r="F28" s="30">
        <f>'Лист подбора'!F25</f>
        <v>0</v>
      </c>
    </row>
    <row r="29" customHeight="1" spans="1:6">
      <c r="A29" s="3">
        <f>'Лист подбора'!A26</f>
        <v>4</v>
      </c>
      <c r="B29" s="3" t="str">
        <f>'Лист подбора'!B26</f>
        <v>ШУН подпитка</v>
      </c>
      <c r="C29" s="3" t="str">
        <f>'Лист подбора'!C26</f>
        <v>#N/A</v>
      </c>
      <c r="D29" s="3">
        <f>'Лист подбора'!D26</f>
        <v>1</v>
      </c>
      <c r="E29" s="3">
        <f>'Лист подбора'!E26</f>
        <v>0</v>
      </c>
      <c r="F29" s="30">
        <f>'Лист подбора'!F26</f>
        <v>0</v>
      </c>
    </row>
    <row r="30" customHeight="1" spans="1:6">
      <c r="A30" s="3">
        <f>'Лист подбора'!A27</f>
        <v>0</v>
      </c>
      <c r="B30" s="3">
        <f>'Лист подбора'!B27</f>
        <v>0</v>
      </c>
      <c r="C30" s="3">
        <f>'Лист подбора'!C27</f>
        <v>0</v>
      </c>
      <c r="D30" s="3">
        <f>'Лист подбора'!D27</f>
        <v>0</v>
      </c>
      <c r="E30" s="3">
        <f>'Лист подбора'!E27</f>
        <v>0</v>
      </c>
      <c r="F30" s="30">
        <f>'Лист подбора'!F27</f>
        <v>0</v>
      </c>
    </row>
  </sheetData>
  <dataValidations count="4">
    <dataValidation type="list" allowBlank="1" showErrorMessage="1" sqref="B2 E2">
      <formula1>"СО,ГВС,0"</formula1>
    </dataValidation>
    <dataValidation type="list" allowBlank="1" showErrorMessage="1" sqref="B3 E3">
      <formula1>"0,1,2,3"</formula1>
    </dataValidation>
    <dataValidation type="list" allowBlank="1" showErrorMessage="1" sqref="B4 E4 B11">
      <formula1>"1x230 В,3x400 В"</formula1>
    </dataValidation>
    <dataValidation type="list" allowBlank="1" showErrorMessage="1" sqref="B10">
      <formula1>"0,1,2"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7:N42"/>
  <sheetViews>
    <sheetView workbookViewId="0">
      <selection activeCell="A1" sqref="A1"/>
    </sheetView>
  </sheetViews>
  <sheetFormatPr defaultColWidth="12.6285714285714" defaultRowHeight="15.75" customHeight="1"/>
  <sheetData>
    <row r="7" customHeight="1" spans="1:14">
      <c r="I7" s="17"/>
      <c r="J7" s="17"/>
      <c r="K7" s="17"/>
      <c r="L7" s="17"/>
      <c r="M7" s="17"/>
      <c r="N7" s="17"/>
    </row>
    <row r="8" customHeight="1" spans="1:14">
      <c r="A8" s="18" t="s">
        <v>15</v>
      </c>
      <c r="D8" s="17"/>
      <c r="H8" s="17"/>
      <c r="I8" s="17"/>
      <c r="J8" s="17"/>
      <c r="K8" s="17"/>
      <c r="L8" s="17"/>
      <c r="M8" s="17"/>
      <c r="N8" s="17"/>
    </row>
    <row r="9" customHeight="1" spans="1:14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</row>
    <row r="10" customHeight="1" spans="1:14">
      <c r="A10" s="18" t="s">
        <v>16</v>
      </c>
      <c r="B10" s="18"/>
      <c r="C10" s="18"/>
      <c r="D10" s="19">
        <v>46126</v>
      </c>
      <c r="H10" s="19"/>
      <c r="I10" s="19"/>
      <c r="J10" s="19"/>
      <c r="K10" s="19"/>
      <c r="L10" s="19"/>
      <c r="M10" s="19"/>
      <c r="N10" s="19"/>
    </row>
    <row r="11" customHeight="1" spans="1:14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</row>
    <row r="12" customHeight="1" spans="1:14">
      <c r="A12" s="18" t="s">
        <v>17</v>
      </c>
      <c r="B12" s="18"/>
      <c r="C12" s="18"/>
      <c r="D12" s="20" t="s">
        <v>18</v>
      </c>
      <c r="H12" s="18"/>
      <c r="I12" s="18"/>
      <c r="J12" s="18"/>
      <c r="K12" s="18"/>
      <c r="L12" s="18"/>
      <c r="M12" s="18"/>
      <c r="N12" s="18"/>
    </row>
    <row r="13" customHeight="1" spans="1:14">
      <c r="A13" s="7"/>
      <c r="B13" s="7"/>
      <c r="C13" s="7"/>
      <c r="D13" s="20"/>
      <c r="F13" s="20"/>
      <c r="G13" s="20"/>
      <c r="H13" s="18"/>
      <c r="I13" s="18"/>
      <c r="J13" s="18"/>
      <c r="K13" s="18"/>
      <c r="L13" s="18"/>
      <c r="M13" s="18"/>
      <c r="N13" s="18"/>
    </row>
    <row r="14" customHeight="1" spans="1:14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</row>
    <row r="15" customHeight="1" spans="1:14">
      <c r="A15" s="18" t="s">
        <v>19</v>
      </c>
      <c r="B15" s="18"/>
      <c r="C15" s="18"/>
      <c r="D15" s="18" t="s">
        <v>20</v>
      </c>
      <c r="H15" s="7"/>
      <c r="K15" s="7"/>
      <c r="N15" s="7"/>
    </row>
    <row r="16" customHeight="1" spans="1:14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</row>
    <row r="17" customHeight="1" spans="1:14">
      <c r="A17" s="18" t="s">
        <v>21</v>
      </c>
      <c r="B17" s="18"/>
      <c r="C17" s="18"/>
      <c r="D17" s="18" t="s">
        <v>22</v>
      </c>
      <c r="F17" s="7"/>
      <c r="G17" s="7"/>
      <c r="H17" s="7"/>
      <c r="I17" s="7"/>
      <c r="J17" s="7"/>
      <c r="K17" s="7"/>
      <c r="L17" s="7"/>
      <c r="M17" s="7"/>
      <c r="N17" s="7"/>
    </row>
    <row r="20" customHeight="1" spans="1:14">
      <c r="A20" s="1" t="s">
        <v>23</v>
      </c>
    </row>
    <row r="22" customHeight="1" spans="1:14">
      <c r="A22" s="21" t="s">
        <v>24</v>
      </c>
      <c r="B22" s="21" t="s">
        <v>25</v>
      </c>
      <c r="C22" s="21" t="s">
        <v>26</v>
      </c>
      <c r="D22" s="21" t="s">
        <v>27</v>
      </c>
      <c r="E22" s="21" t="s">
        <v>28</v>
      </c>
      <c r="F22" s="21"/>
    </row>
    <row r="23" customHeight="1" spans="1:14">
      <c r="A23" s="21">
        <v>1</v>
      </c>
      <c r="B23" s="21" t="s">
        <v>29</v>
      </c>
      <c r="C23" s="22" t="str">
        <f>IF(Подбор!E7=0,"---",Подбор!E7)</f>
        <v>BST0105260002</v>
      </c>
      <c r="D23" s="21">
        <f>IF(Подбор!E7=0,0,1)</f>
        <v>1</v>
      </c>
      <c r="E23" s="21">
        <f>IF(Подбор!E7=0,0,IFERROR(Подбор!E8*3,Подбор!E8))</f>
        <v>1413.9</v>
      </c>
      <c r="F23" s="23"/>
    </row>
    <row r="24" customHeight="1" spans="1:14">
      <c r="A24" s="21">
        <v>2</v>
      </c>
      <c r="B24" s="21" t="s">
        <v>30</v>
      </c>
      <c r="C24" s="22" t="str">
        <f>IF(Подбор!H16=0,"---",Подбор!H16)</f>
        <v>BST0105263206</v>
      </c>
      <c r="D24" s="21">
        <f>IF(Подбор!H16=0,0,1)</f>
        <v>1</v>
      </c>
      <c r="E24" s="21" t="str">
        <f>IF(Подбор!H16=0,0,IFERROR(Подбор!H17*3,Подбор!H17))</f>
        <v>не загружена</v>
      </c>
      <c r="F24" s="23"/>
    </row>
    <row r="25" customHeight="1" spans="1:14">
      <c r="A25" s="21">
        <v>3</v>
      </c>
      <c r="B25" s="21" t="s">
        <v>31</v>
      </c>
      <c r="C25" s="22" t="str">
        <f>IF(Подбор!H20=0,"---",Подбор!H20)</f>
        <v>#N/A</v>
      </c>
      <c r="D25" s="21">
        <f>IF(Подбор!H20=0,0,1)</f>
        <v>1</v>
      </c>
      <c r="E25" s="21">
        <f>IF(Подбор!H20=0,0,IFERROR(Подбор!H21*3,Подбор!H21))</f>
        <v>0</v>
      </c>
      <c r="F25" s="23"/>
    </row>
    <row r="26" customHeight="1" spans="1:14">
      <c r="A26" s="21">
        <v>4</v>
      </c>
      <c r="B26" s="21" t="s">
        <v>32</v>
      </c>
      <c r="C26" s="22" t="str">
        <f>IF(Подбор!H25=0,"---",Подбор!H25)</f>
        <v>#N/A</v>
      </c>
      <c r="D26" s="21">
        <f>IF(Подбор!H25=0,0,1)</f>
        <v>1</v>
      </c>
      <c r="E26" s="21">
        <f>IF(Подбор!H25=0,0,IFERROR(Подбор!H26*3,Подбор!H26))</f>
        <v>0</v>
      </c>
      <c r="F26" s="23"/>
    </row>
    <row r="27" customHeight="1" spans="1:14">
      <c r="C27" s="24"/>
      <c r="D27" s="25"/>
      <c r="E27" s="26"/>
      <c r="F27" s="23"/>
    </row>
    <row r="30" customHeight="1" spans="1:14">
      <c r="A30" s="27" t="s">
        <v>33</v>
      </c>
    </row>
    <row r="31" customHeight="1" spans="1:14">
      <c r="A31" s="27"/>
      <c r="B31" s="27"/>
      <c r="C31" s="27"/>
      <c r="D31" s="27"/>
      <c r="E31" s="27"/>
      <c r="F31" s="27"/>
      <c r="G31" s="27"/>
    </row>
    <row r="32" customHeight="1" spans="1:14">
      <c r="A32" s="27" t="s">
        <v>34</v>
      </c>
    </row>
    <row r="33" customHeight="1" spans="1:7">
      <c r="A33" s="27"/>
      <c r="B33" s="27"/>
      <c r="C33" s="27"/>
      <c r="D33" s="27"/>
      <c r="E33" s="27"/>
      <c r="F33" s="27"/>
      <c r="G33" s="27"/>
    </row>
    <row r="34" customHeight="1" spans="1:7">
      <c r="A34" s="27" t="s">
        <v>35</v>
      </c>
    </row>
    <row r="35" customHeight="1" spans="1:7">
      <c r="A35" s="27"/>
      <c r="B35" s="27"/>
      <c r="C35" s="27"/>
      <c r="D35" s="27"/>
      <c r="E35" s="27"/>
      <c r="F35" s="27"/>
      <c r="G35" s="27"/>
    </row>
    <row r="36" customHeight="1" spans="1:7">
      <c r="A36" s="27"/>
      <c r="B36" s="27"/>
      <c r="C36" s="27"/>
      <c r="D36" s="27"/>
      <c r="E36" s="27"/>
      <c r="F36" s="27"/>
      <c r="G36" s="27"/>
    </row>
    <row r="37" customHeight="1" spans="1:7">
      <c r="A37" s="27" t="s">
        <v>36</v>
      </c>
      <c r="G37" s="27"/>
    </row>
    <row r="38" customHeight="1" spans="1:7">
      <c r="A38" s="27"/>
      <c r="B38" s="27"/>
      <c r="C38" s="27"/>
      <c r="D38" s="27"/>
      <c r="E38" s="27"/>
      <c r="F38" s="27"/>
      <c r="G38" s="27"/>
    </row>
    <row r="39" customHeight="1" spans="1:7">
      <c r="A39" s="27" t="s">
        <v>37</v>
      </c>
      <c r="G39" s="27"/>
    </row>
    <row r="40" customHeight="1" spans="1:7">
      <c r="A40" s="27"/>
      <c r="B40" s="27"/>
      <c r="C40" s="27"/>
      <c r="D40" s="27"/>
      <c r="E40" s="27"/>
      <c r="F40" s="27"/>
      <c r="G40" s="27"/>
    </row>
    <row r="41" customHeight="1" spans="1:7">
      <c r="A41" s="27" t="s">
        <v>38</v>
      </c>
    </row>
    <row r="42" customHeight="1" spans="1:7">
      <c r="A42" s="27" t="s">
        <v>39</v>
      </c>
    </row>
  </sheetData>
  <mergeCells count="15">
    <mergeCell ref="A8:C8"/>
    <mergeCell ref="D8:G8"/>
    <mergeCell ref="D10:G10"/>
    <mergeCell ref="D12:G12"/>
    <mergeCell ref="D15:G15"/>
    <mergeCell ref="H15:J15"/>
    <mergeCell ref="K15:M15"/>
    <mergeCell ref="C27:E27"/>
    <mergeCell ref="A30:G30"/>
    <mergeCell ref="A32:G32"/>
    <mergeCell ref="A34:G34"/>
    <mergeCell ref="A37:F37"/>
    <mergeCell ref="A39:F39"/>
    <mergeCell ref="A41:G41"/>
    <mergeCell ref="A42:G42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7"/>
  <sheetViews>
    <sheetView workbookViewId="0">
      <selection activeCell="A1" sqref="A1"/>
    </sheetView>
  </sheetViews>
  <sheetFormatPr defaultColWidth="12.6285714285714" defaultRowHeight="15.75" customHeight="1"/>
  <cols>
    <col min="1" max="1" width="18.247619047619" customWidth="1"/>
    <col min="3" max="3" width="15.752380952381" customWidth="1"/>
  </cols>
  <sheetData>
    <row r="1" customHeight="1" spans="1:9">
      <c r="B1" s="1" t="s">
        <v>29</v>
      </c>
      <c r="C1" s="1" t="s">
        <v>0</v>
      </c>
      <c r="E1" s="1" t="s">
        <v>2</v>
      </c>
      <c r="H1" s="1" t="s">
        <v>40</v>
      </c>
    </row>
    <row r="2" customHeight="1" spans="1:9">
      <c r="A2" s="1"/>
      <c r="B2" s="1" t="s">
        <v>41</v>
      </c>
      <c r="C2" s="1" t="s">
        <v>42</v>
      </c>
      <c r="E2" s="1" t="s">
        <v>41</v>
      </c>
      <c r="F2" s="1" t="s">
        <v>42</v>
      </c>
      <c r="H2" s="1" t="s">
        <v>41</v>
      </c>
    </row>
    <row r="3" customHeight="1" spans="1:9">
      <c r="B3" s="3">
        <f>IFERROR(VLOOKUP('Исходные данные'!B6,Диапазон_токов_без_ПЧ[],2,1),0)</f>
        <v>5</v>
      </c>
      <c r="C3" s="1">
        <f>IFERROR(VLOOKUP('Исходные данные'!B5,Диапазон_мощностей_ЧП[],2,1),0)</f>
        <v>6</v>
      </c>
      <c r="E3" s="3">
        <f>IFERROR(VLOOKUP('Исходные данные'!E6,Диапазон_токов_без_ПЧ[],2,1),0)</f>
        <v>1</v>
      </c>
      <c r="F3" s="1">
        <f>IFERROR(VLOOKUP('Исходные данные'!E5,Диапазон_мощностей_ЧП[],2,1),0)</f>
        <v>1</v>
      </c>
      <c r="H3" s="3">
        <f>IFERROR(VLOOKUP('Исходные данные'!B13,Диапазон_токов_без_ПЧ[],2,1),0)</f>
        <v>5</v>
      </c>
    </row>
    <row r="7" customHeight="1" spans="1:9">
      <c r="B7" s="1" t="s">
        <v>29</v>
      </c>
      <c r="D7" s="1" t="s">
        <v>43</v>
      </c>
      <c r="E7" s="3" t="str">
        <f>IFERROR(D8,0)</f>
        <v>BST0105260002</v>
      </c>
    </row>
    <row r="8" customHeight="1" spans="1:9">
      <c r="A8" s="1" t="s">
        <v>44</v>
      </c>
      <c r="B8" s="1" t="s">
        <v>45</v>
      </c>
      <c r="D8" s="3" t="str">
        <f>IFERROR(__xludf.DUMMYFUNCTION("FILTER(База_ША,База_ША[Контур1] = B13, База_ША[Контур2] = C13, База_ША[ММ] = D13, База_ША[БТП]=E13)"),"BST0105260002")</f>
        <v>BST0105260002</v>
      </c>
      <c r="E8" s="3">
        <f>IFERROR(__xludf.DUMMYFUNCTION("""COMPUTED_VALUE"""),471.3)</f>
        <v>471.3</v>
      </c>
      <c r="F8" s="3" t="str">
        <f>IFERROR(__xludf.DUMMYFUNCTION("""COMPUTED_VALUE"""),"СО")</f>
        <v>СО</v>
      </c>
      <c r="G8" s="3">
        <f>IFERROR(__xludf.DUMMYFUNCTION("""COMPUTED_VALUE"""),0)</f>
        <v>0</v>
      </c>
      <c r="H8" s="3">
        <f>IFERROR(__xludf.DUMMYFUNCTION("""COMPUTED_VALUE"""),0)</f>
        <v>0</v>
      </c>
      <c r="I8" s="3">
        <f>IFERROR(__xludf.DUMMYFUNCTION("""COMPUTED_VALUE"""),1)</f>
        <v>1</v>
      </c>
    </row>
    <row r="9" customHeight="1" spans="1:9">
      <c r="A9" s="3">
        <f>IF(ISBLANK('Исходные данные'!B2),0,1)</f>
        <v>1</v>
      </c>
      <c r="B9" s="3" t="str">
        <f>IF(ISBLANK('Исходные данные'!B2),0,'Исходные данные'!B2)</f>
        <v>СО</v>
      </c>
    </row>
    <row r="10" customHeight="1" spans="1:9">
      <c r="B10" s="3">
        <f>IF(ISBLANK('Исходные данные'!E2),0,'Исходные данные'!E2)</f>
        <v>0</v>
      </c>
    </row>
    <row r="12" customHeight="1" spans="1:9">
      <c r="B12" s="1" t="s">
        <v>0</v>
      </c>
      <c r="C12" s="1" t="s">
        <v>2</v>
      </c>
      <c r="D12" s="1" t="s">
        <v>46</v>
      </c>
      <c r="E12" s="1" t="s">
        <v>47</v>
      </c>
    </row>
    <row r="13" customHeight="1" spans="1:9">
      <c r="B13" s="3" t="str">
        <f>IF(ISBLANK('Исходные данные'!B2),0,'Исходные данные'!B2)</f>
        <v>СО</v>
      </c>
      <c r="C13" s="3">
        <f>IF(ISBLANK('Исходные данные'!E2),0,'Исходные данные'!E2)</f>
        <v>0</v>
      </c>
      <c r="D13" s="3">
        <f>IF(ISBLANK('Исходные данные'!B18),0,IF('Исходные данные'!B18,1,0))</f>
        <v>0</v>
      </c>
      <c r="E13" s="3">
        <f>IF(ISBLANK('Исходные данные'!E18),0,IF('Исходные данные'!E18,1,0))</f>
        <v>1</v>
      </c>
    </row>
    <row r="16" customHeight="1" spans="1:9">
      <c r="B16" s="1" t="s">
        <v>48</v>
      </c>
      <c r="G16" s="1" t="s">
        <v>43</v>
      </c>
      <c r="H16" s="3" t="str">
        <f>IFERROR(G17,0)</f>
        <v>BST0105263206</v>
      </c>
    </row>
    <row r="17" customHeight="1" spans="2:12">
      <c r="B17" s="1" t="s">
        <v>10</v>
      </c>
      <c r="C17" s="1" t="s">
        <v>49</v>
      </c>
      <c r="D17" s="1" t="s">
        <v>50</v>
      </c>
      <c r="E17" s="1" t="s">
        <v>51</v>
      </c>
      <c r="G17" s="3" t="str">
        <f>IFERROR(__xludf.DUMMYFUNCTION("FILTER(База_ШУН, База_ШУН[ПЧ]=C18, База_ШУН[Насосы]=B18, База_ШУН[Напряжение]=D18, База_ШУН[Диапазон]=E18)"),"BST0105263206")</f>
        <v>BST0105263206</v>
      </c>
      <c r="H17" s="3" t="str">
        <f>IFERROR(__xludf.DUMMYFUNCTION("""COMPUTED_VALUE"""),"не загружена")</f>
        <v>не загружена</v>
      </c>
      <c r="I17" s="3">
        <f>IFERROR(__xludf.DUMMYFUNCTION("""COMPUTED_VALUE"""),1)</f>
        <v>1</v>
      </c>
      <c r="J17" s="3" t="str">
        <f>IFERROR(__xludf.DUMMYFUNCTION("""COMPUTED_VALUE"""),"3x400 В")</f>
        <v>3x400 В</v>
      </c>
      <c r="K17" s="3">
        <f>IFERROR(__xludf.DUMMYFUNCTION("""COMPUTED_VALUE"""),2)</f>
        <v>2</v>
      </c>
      <c r="L17" s="3">
        <f>IFERROR(__xludf.DUMMYFUNCTION("""COMPUTED_VALUE"""),6)</f>
        <v>6</v>
      </c>
    </row>
    <row r="18" customHeight="1" spans="2:12">
      <c r="B18" s="3">
        <f>IF(OR('Исходные данные'!B3=1,'Исходные данные'!B3=2),2,0)</f>
        <v>2</v>
      </c>
      <c r="C18" s="3">
        <f>IF(ISBLANK('Исходные данные'!B7),0,IF('Исходные данные'!B7,1,0))</f>
        <v>1</v>
      </c>
      <c r="D18" s="3" t="str">
        <f>'Исходные данные'!B4</f>
        <v>3x400 В</v>
      </c>
      <c r="E18" s="3">
        <f>IF(C18=0,B3,C3)</f>
        <v>6</v>
      </c>
    </row>
    <row r="20" customHeight="1" spans="2:12">
      <c r="B20" s="1" t="s">
        <v>52</v>
      </c>
      <c r="G20" s="1" t="s">
        <v>43</v>
      </c>
      <c r="H20" s="3" t="str">
        <f>IFERROR(G21,0)</f>
        <v>#N/A</v>
      </c>
    </row>
    <row r="21" customHeight="1" spans="2:12">
      <c r="B21" s="1" t="s">
        <v>10</v>
      </c>
      <c r="C21" s="1" t="s">
        <v>49</v>
      </c>
      <c r="D21" s="1" t="s">
        <v>50</v>
      </c>
      <c r="E21" s="1" t="s">
        <v>51</v>
      </c>
      <c r="G21" s="3" t="str">
        <f>IFERROR(__xludf.DUMMYFUNCTION("FILTER(База_ШУН, База_ШУН[ПЧ]=C22, База_ШУН[Насосы]=B22, База_ШУН[Напряжение]=D22, База_ШУН[Диапазон]=E22)"),"#N/A")</f>
        <v>#N/A</v>
      </c>
    </row>
    <row r="22" customHeight="1" spans="2:12">
      <c r="B22" s="3">
        <f>IF(OR('Исходные данные'!E3=1,'Исходные данные'!E3=2),2,0)</f>
        <v>0</v>
      </c>
      <c r="C22" s="3">
        <f>IF(ISBLANK('Исходные данные'!E7),0,IF('Исходные данные'!E7,1,0))</f>
        <v>0</v>
      </c>
      <c r="D22" s="3" t="str">
        <f>'Исходные данные'!E4</f>
        <v>3x400 В</v>
      </c>
      <c r="E22" s="3">
        <f>IF(C22=0,E3,F3)</f>
        <v>1</v>
      </c>
    </row>
    <row r="25" customHeight="1" spans="2:12">
      <c r="B25" s="1" t="s">
        <v>53</v>
      </c>
      <c r="G25" s="1" t="s">
        <v>43</v>
      </c>
      <c r="H25" s="3" t="str">
        <f>IFERROR(G26,0)</f>
        <v>#N/A</v>
      </c>
    </row>
    <row r="26" customHeight="1" spans="2:12">
      <c r="B26" s="1" t="s">
        <v>10</v>
      </c>
      <c r="C26" s="1" t="s">
        <v>49</v>
      </c>
      <c r="D26" s="1" t="s">
        <v>50</v>
      </c>
      <c r="E26" s="1" t="s">
        <v>51</v>
      </c>
      <c r="G26" s="3" t="str">
        <f>IFERROR(__xludf.DUMMYFUNCTION("FILTER(База_ШУН, База_ШУН[ПЧ]=C27, База_ШУН[Насосы]=B27, База_ШУН[Напряжение]=D27, База_ШУН[Диапазон]=E27)"),"#N/A")</f>
        <v>#N/A</v>
      </c>
    </row>
    <row r="27" customHeight="1" spans="2:12">
      <c r="B27" s="3">
        <f>IF(OR('Исходные данные'!B10=1,'Исходные данные'!B10=2),2,0)</f>
        <v>0</v>
      </c>
      <c r="C27" s="3">
        <f>IF(ISBLANK('Исходные данные'!B14),0,IF('Исходные данные'!B14,1,0))</f>
        <v>0</v>
      </c>
      <c r="D27" s="3" t="str">
        <f>'Исходные данные'!B11</f>
        <v>3x400 В</v>
      </c>
      <c r="E27" s="3">
        <f>H3</f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Z82"/>
  <sheetViews>
    <sheetView tabSelected="1" topLeftCell="A7" workbookViewId="0">
      <selection activeCell="F16" sqref="F16"/>
    </sheetView>
  </sheetViews>
  <sheetFormatPr defaultColWidth="12.6285714285714" defaultRowHeight="15.75" customHeight="1"/>
  <cols>
    <col min="2" max="2" width="22.752380952381" customWidth="1"/>
    <col min="3" max="3" width="19.3809523809524" customWidth="1"/>
    <col min="5" max="5" width="18.247619047619" customWidth="1"/>
    <col min="9" max="9" width="18.1333333333333" customWidth="1"/>
    <col min="10" max="10" width="30.3809523809524" customWidth="1"/>
  </cols>
  <sheetData>
    <row r="2" ht="22.5" customHeight="1" spans="1:17">
      <c r="A2" s="4" t="s">
        <v>54</v>
      </c>
      <c r="B2" s="4" t="s">
        <v>55</v>
      </c>
      <c r="C2" s="4" t="s">
        <v>56</v>
      </c>
      <c r="E2" s="4" t="s">
        <v>54</v>
      </c>
      <c r="F2" s="4" t="s">
        <v>55</v>
      </c>
      <c r="G2" s="4" t="s">
        <v>56</v>
      </c>
      <c r="J2" s="3"/>
      <c r="K2" s="3"/>
      <c r="M2" s="3"/>
      <c r="N2" s="3"/>
      <c r="P2" s="3"/>
      <c r="Q2" s="3"/>
    </row>
    <row r="3" ht="22.5" customHeight="1" spans="1:17">
      <c r="A3" s="5">
        <v>0.4</v>
      </c>
      <c r="B3" s="5">
        <v>1</v>
      </c>
      <c r="C3" s="5" t="s">
        <v>57</v>
      </c>
      <c r="E3" s="5">
        <v>0</v>
      </c>
      <c r="F3" s="5">
        <v>1</v>
      </c>
      <c r="G3" s="5" t="s">
        <v>58</v>
      </c>
      <c r="J3" s="3"/>
      <c r="K3" s="3"/>
      <c r="M3" s="3"/>
      <c r="N3" s="3"/>
      <c r="P3" s="3"/>
      <c r="Q3" s="3"/>
    </row>
    <row r="4" ht="22.5" customHeight="1" spans="1:17">
      <c r="A4" s="5">
        <v>0.63</v>
      </c>
      <c r="B4" s="5">
        <v>2</v>
      </c>
      <c r="C4" s="5" t="s">
        <v>59</v>
      </c>
      <c r="E4" s="5">
        <v>0.76</v>
      </c>
      <c r="F4" s="5">
        <v>2</v>
      </c>
      <c r="G4" s="5" t="s">
        <v>60</v>
      </c>
      <c r="J4" s="3"/>
      <c r="K4" s="3"/>
      <c r="M4" s="3"/>
      <c r="N4" s="3"/>
      <c r="P4" s="3"/>
      <c r="Q4" s="3"/>
    </row>
    <row r="5" ht="22.5" customHeight="1" spans="1:17">
      <c r="A5" s="5">
        <v>1</v>
      </c>
      <c r="B5" s="5">
        <v>3</v>
      </c>
      <c r="C5" s="5" t="s">
        <v>61</v>
      </c>
      <c r="E5" s="5">
        <v>1.51</v>
      </c>
      <c r="F5" s="5">
        <v>3</v>
      </c>
      <c r="G5" s="5" t="s">
        <v>62</v>
      </c>
      <c r="J5" s="3"/>
      <c r="K5" s="3"/>
      <c r="M5" s="3"/>
      <c r="N5" s="3"/>
      <c r="P5" s="3"/>
      <c r="Q5" s="3"/>
    </row>
    <row r="6" ht="22.5" customHeight="1" spans="1:17">
      <c r="A6" s="5">
        <v>1.6</v>
      </c>
      <c r="B6" s="5">
        <v>4</v>
      </c>
      <c r="C6" s="5" t="s">
        <v>63</v>
      </c>
      <c r="E6" s="5">
        <v>2.21</v>
      </c>
      <c r="F6" s="5">
        <v>4</v>
      </c>
      <c r="G6" s="5" t="s">
        <v>64</v>
      </c>
      <c r="J6" s="3"/>
      <c r="K6" s="3"/>
      <c r="P6" s="3"/>
      <c r="Q6" s="3"/>
    </row>
    <row r="7" ht="22.5" customHeight="1" spans="1:17">
      <c r="A7" s="5">
        <v>2.5</v>
      </c>
      <c r="B7" s="5">
        <v>5</v>
      </c>
      <c r="C7" s="5" t="s">
        <v>65</v>
      </c>
      <c r="E7" s="5">
        <v>4.01</v>
      </c>
      <c r="F7" s="5">
        <v>5</v>
      </c>
      <c r="G7" s="5" t="s">
        <v>66</v>
      </c>
      <c r="J7" s="3"/>
      <c r="K7" s="3"/>
      <c r="P7" s="3"/>
      <c r="Q7" s="3"/>
    </row>
    <row r="8" ht="22.5" customHeight="1" spans="1:17">
      <c r="A8" s="5">
        <v>4</v>
      </c>
      <c r="B8" s="5">
        <v>6</v>
      </c>
      <c r="C8" s="6" t="s">
        <v>67</v>
      </c>
      <c r="E8" s="5">
        <v>5.51</v>
      </c>
      <c r="F8" s="5">
        <v>6</v>
      </c>
      <c r="G8" s="5" t="s">
        <v>68</v>
      </c>
      <c r="P8" s="3"/>
      <c r="Q8" s="3"/>
    </row>
    <row r="9" ht="22.5" customHeight="1" spans="1:17">
      <c r="A9" s="5">
        <v>6</v>
      </c>
      <c r="B9" s="5">
        <v>7</v>
      </c>
      <c r="C9" s="5" t="s">
        <v>69</v>
      </c>
      <c r="E9" s="5">
        <v>7.51</v>
      </c>
      <c r="F9" s="5">
        <v>7</v>
      </c>
      <c r="G9" s="5" t="s">
        <v>70</v>
      </c>
      <c r="P9" s="3"/>
      <c r="Q9" s="3"/>
    </row>
    <row r="10" ht="22.5" customHeight="1" spans="1:17">
      <c r="A10" s="5">
        <v>9</v>
      </c>
      <c r="B10" s="5">
        <v>8</v>
      </c>
      <c r="C10" s="5" t="s">
        <v>71</v>
      </c>
      <c r="E10" s="5">
        <v>11.01</v>
      </c>
      <c r="F10" s="5">
        <v>8</v>
      </c>
      <c r="G10" s="5" t="s">
        <v>72</v>
      </c>
    </row>
    <row r="11" ht="22.5" customHeight="1" spans="1:17">
      <c r="A11" s="5">
        <v>12</v>
      </c>
      <c r="B11" s="5">
        <v>9</v>
      </c>
      <c r="C11" s="5" t="s">
        <v>73</v>
      </c>
      <c r="E11" s="5">
        <v>15.01</v>
      </c>
      <c r="F11" s="5">
        <v>9</v>
      </c>
      <c r="G11" s="5" t="s">
        <v>74</v>
      </c>
    </row>
    <row r="12" ht="22.5" customHeight="1" spans="1:17">
      <c r="A12" s="5">
        <v>17</v>
      </c>
      <c r="B12" s="5">
        <v>10</v>
      </c>
      <c r="C12" s="5" t="s">
        <v>75</v>
      </c>
      <c r="E12" s="5">
        <v>18.51</v>
      </c>
      <c r="F12" s="5">
        <v>10</v>
      </c>
      <c r="G12" s="5" t="s">
        <v>76</v>
      </c>
    </row>
    <row r="13" ht="22.5" customHeight="1" spans="1:17">
      <c r="A13" s="5">
        <v>20</v>
      </c>
      <c r="B13" s="5">
        <v>11</v>
      </c>
      <c r="C13" s="6" t="s">
        <v>77</v>
      </c>
      <c r="E13" s="5">
        <v>22.01</v>
      </c>
      <c r="F13" s="5">
        <v>0</v>
      </c>
      <c r="G13" s="5" t="s">
        <v>78</v>
      </c>
    </row>
    <row r="14" ht="22.5" customHeight="1" spans="1:17">
      <c r="A14" s="5">
        <v>24</v>
      </c>
      <c r="B14" s="5">
        <v>12</v>
      </c>
      <c r="C14" s="5" t="s">
        <v>79</v>
      </c>
    </row>
    <row r="15" ht="22.5" customHeight="1" spans="1:17">
      <c r="A15" s="5">
        <v>32</v>
      </c>
      <c r="B15" s="5">
        <v>13</v>
      </c>
      <c r="C15" s="5" t="s">
        <v>80</v>
      </c>
    </row>
    <row r="16" ht="22.5" customHeight="1" spans="1:17">
      <c r="A16" s="5">
        <v>40</v>
      </c>
      <c r="B16" s="5">
        <v>14</v>
      </c>
      <c r="C16" s="5" t="s">
        <v>81</v>
      </c>
    </row>
    <row r="17" ht="22.5" customHeight="1" spans="1:16">
      <c r="A17" s="5">
        <v>56</v>
      </c>
      <c r="B17" s="5">
        <v>15</v>
      </c>
      <c r="C17" s="5" t="s">
        <v>82</v>
      </c>
    </row>
    <row r="18" ht="22.5" customHeight="1" spans="1:16">
      <c r="A18" s="5">
        <v>80.01</v>
      </c>
      <c r="B18" s="5">
        <v>0</v>
      </c>
      <c r="C18" s="6" t="s">
        <v>78</v>
      </c>
    </row>
    <row r="21" ht="22.5" customHeight="1" spans="1:16">
      <c r="B21" s="4" t="s">
        <v>83</v>
      </c>
      <c r="C21" s="4" t="s">
        <v>84</v>
      </c>
      <c r="D21" s="4" t="s">
        <v>85</v>
      </c>
      <c r="E21" s="4" t="s">
        <v>86</v>
      </c>
      <c r="F21" s="4" t="s">
        <v>46</v>
      </c>
      <c r="G21" s="4" t="s">
        <v>47</v>
      </c>
      <c r="H21" s="4" t="s">
        <v>87</v>
      </c>
      <c r="I21" s="3"/>
      <c r="J21" s="3"/>
    </row>
    <row r="22" ht="22.5" customHeight="1" spans="1:16">
      <c r="B22" s="7" t="s">
        <v>88</v>
      </c>
      <c r="C22" s="8">
        <v>596</v>
      </c>
      <c r="D22" s="5" t="s">
        <v>1</v>
      </c>
      <c r="E22" s="5" t="s">
        <v>89</v>
      </c>
      <c r="F22" s="5">
        <v>0</v>
      </c>
      <c r="G22" s="5">
        <v>1</v>
      </c>
      <c r="I22" s="3"/>
      <c r="J22" s="3"/>
      <c r="K22" s="3"/>
    </row>
    <row r="23" ht="22.5" customHeight="1" spans="1:16">
      <c r="B23" s="7" t="s">
        <v>90</v>
      </c>
      <c r="C23" s="8">
        <v>471.3</v>
      </c>
      <c r="D23" s="5" t="s">
        <v>1</v>
      </c>
      <c r="E23" s="5">
        <v>0</v>
      </c>
      <c r="F23" s="5">
        <v>0</v>
      </c>
      <c r="G23" s="5">
        <v>1</v>
      </c>
      <c r="I23" s="3"/>
      <c r="J23" s="3"/>
      <c r="K23" s="3"/>
    </row>
    <row r="24" ht="22.5" customHeight="1" spans="1:16">
      <c r="B24" s="7" t="s">
        <v>91</v>
      </c>
      <c r="C24" s="8">
        <v>471.3</v>
      </c>
      <c r="D24" s="5" t="s">
        <v>89</v>
      </c>
      <c r="E24" s="5">
        <v>0</v>
      </c>
      <c r="F24" s="5">
        <v>0</v>
      </c>
      <c r="G24" s="5">
        <v>1</v>
      </c>
      <c r="H24" s="3"/>
      <c r="I24" s="3"/>
      <c r="J24" s="3"/>
      <c r="K24" s="3"/>
    </row>
    <row r="25" ht="22.5" customHeight="1" spans="1:16">
      <c r="B25" s="7" t="s">
        <v>92</v>
      </c>
      <c r="C25" s="8" t="s">
        <v>93</v>
      </c>
      <c r="D25" s="5" t="s">
        <v>1</v>
      </c>
      <c r="E25" s="5" t="s">
        <v>94</v>
      </c>
      <c r="F25" s="5">
        <v>0</v>
      </c>
      <c r="G25" s="5">
        <v>1</v>
      </c>
      <c r="P25" s="3"/>
    </row>
    <row r="26" ht="22.5" customHeight="1" spans="1:16">
      <c r="B26" s="7" t="s">
        <v>95</v>
      </c>
      <c r="C26" s="8">
        <v>685</v>
      </c>
      <c r="D26" s="5" t="s">
        <v>1</v>
      </c>
      <c r="E26" s="5" t="s">
        <v>89</v>
      </c>
      <c r="F26" s="5">
        <v>1</v>
      </c>
      <c r="G26" s="5">
        <v>1</v>
      </c>
    </row>
    <row r="27" ht="22.5" customHeight="1" spans="1:16">
      <c r="B27" s="7" t="s">
        <v>96</v>
      </c>
      <c r="C27" s="9">
        <v>555.8</v>
      </c>
      <c r="D27" s="5" t="s">
        <v>1</v>
      </c>
      <c r="E27" s="5">
        <v>0</v>
      </c>
      <c r="F27" s="5">
        <v>1</v>
      </c>
      <c r="G27" s="5">
        <v>1</v>
      </c>
    </row>
    <row r="28" ht="22.5" customHeight="1" spans="1:16">
      <c r="B28" s="7" t="s">
        <v>97</v>
      </c>
      <c r="C28" s="9">
        <v>555.8</v>
      </c>
      <c r="D28" s="5" t="s">
        <v>89</v>
      </c>
      <c r="E28" s="5">
        <v>0</v>
      </c>
      <c r="F28" s="5">
        <v>1</v>
      </c>
      <c r="G28" s="5">
        <v>1</v>
      </c>
    </row>
    <row r="29" ht="22.5" customHeight="1" spans="1:16">
      <c r="B29" s="7" t="s">
        <v>98</v>
      </c>
      <c r="C29" s="8" t="s">
        <v>93</v>
      </c>
      <c r="D29" s="5" t="s">
        <v>1</v>
      </c>
      <c r="E29" s="5" t="s">
        <v>94</v>
      </c>
      <c r="F29" s="5">
        <v>1</v>
      </c>
      <c r="G29" s="5">
        <v>1</v>
      </c>
    </row>
    <row r="30" ht="22.5" customHeight="1" spans="1:16">
      <c r="B30" s="7" t="s">
        <v>99</v>
      </c>
      <c r="C30" s="8">
        <v>427.3</v>
      </c>
      <c r="D30" s="5" t="s">
        <v>1</v>
      </c>
      <c r="E30" s="5" t="s">
        <v>89</v>
      </c>
      <c r="F30" s="5">
        <v>0</v>
      </c>
      <c r="G30" s="5">
        <v>0</v>
      </c>
    </row>
    <row r="31" ht="22.5" customHeight="1" spans="1:16">
      <c r="B31" s="7" t="s">
        <v>100</v>
      </c>
      <c r="C31" s="8">
        <v>284.6</v>
      </c>
      <c r="D31" s="5" t="s">
        <v>1</v>
      </c>
      <c r="E31" s="5">
        <v>0</v>
      </c>
      <c r="F31" s="5">
        <v>0</v>
      </c>
      <c r="G31" s="5">
        <v>0</v>
      </c>
    </row>
    <row r="32" ht="22.5" customHeight="1" spans="1:16">
      <c r="B32" s="7" t="s">
        <v>101</v>
      </c>
      <c r="C32" s="8">
        <v>284.6</v>
      </c>
      <c r="D32" s="5" t="s">
        <v>89</v>
      </c>
      <c r="E32" s="5">
        <v>0</v>
      </c>
      <c r="F32" s="5">
        <v>0</v>
      </c>
      <c r="G32" s="5">
        <v>0</v>
      </c>
    </row>
    <row r="38" ht="22.5" customHeight="1" spans="2:8">
      <c r="B38" s="4" t="s">
        <v>83</v>
      </c>
      <c r="C38" s="4" t="s">
        <v>84</v>
      </c>
      <c r="D38" s="4" t="s">
        <v>49</v>
      </c>
      <c r="E38" s="4" t="s">
        <v>50</v>
      </c>
      <c r="F38" s="4" t="s">
        <v>102</v>
      </c>
      <c r="G38" s="4" t="s">
        <v>51</v>
      </c>
      <c r="H38" s="4" t="s">
        <v>87</v>
      </c>
    </row>
    <row r="39" ht="22.5" customHeight="1" spans="2:8">
      <c r="B39" s="7" t="s">
        <v>103</v>
      </c>
      <c r="C39" s="8">
        <v>200.1</v>
      </c>
      <c r="D39" s="5">
        <v>0</v>
      </c>
      <c r="E39" s="5" t="s">
        <v>104</v>
      </c>
      <c r="F39" s="5">
        <v>2</v>
      </c>
      <c r="G39" s="5">
        <v>1</v>
      </c>
    </row>
    <row r="40" ht="22.5" customHeight="1" spans="2:8">
      <c r="B40" s="7" t="s">
        <v>105</v>
      </c>
      <c r="C40" s="8">
        <v>200.1</v>
      </c>
      <c r="D40" s="5">
        <v>0</v>
      </c>
      <c r="E40" s="5" t="s">
        <v>104</v>
      </c>
      <c r="F40" s="5">
        <v>2</v>
      </c>
      <c r="G40" s="5">
        <v>2</v>
      </c>
    </row>
    <row r="41" ht="22.5" customHeight="1" spans="2:8">
      <c r="B41" s="7" t="s">
        <v>106</v>
      </c>
      <c r="C41" s="8">
        <v>201.4</v>
      </c>
      <c r="D41" s="5">
        <v>0</v>
      </c>
      <c r="E41" s="5" t="s">
        <v>104</v>
      </c>
      <c r="F41" s="5">
        <v>2</v>
      </c>
      <c r="G41" s="5">
        <v>3</v>
      </c>
    </row>
    <row r="42" ht="22.5" customHeight="1" spans="2:8">
      <c r="B42" s="7" t="s">
        <v>107</v>
      </c>
      <c r="C42" s="8">
        <v>201.4</v>
      </c>
      <c r="D42" s="5">
        <v>0</v>
      </c>
      <c r="E42" s="5" t="s">
        <v>104</v>
      </c>
      <c r="F42" s="5">
        <v>2</v>
      </c>
      <c r="G42" s="5">
        <v>4</v>
      </c>
    </row>
    <row r="43" ht="22.5" customHeight="1" spans="2:8">
      <c r="B43" s="7" t="s">
        <v>108</v>
      </c>
      <c r="C43" s="8">
        <v>201.4</v>
      </c>
      <c r="D43" s="5">
        <v>0</v>
      </c>
      <c r="E43" s="5" t="s">
        <v>104</v>
      </c>
      <c r="F43" s="5">
        <v>2</v>
      </c>
      <c r="G43" s="5">
        <v>5</v>
      </c>
    </row>
    <row r="44" ht="22.5" customHeight="1" spans="2:8">
      <c r="B44" s="7" t="s">
        <v>109</v>
      </c>
      <c r="C44" s="8" t="s">
        <v>110</v>
      </c>
      <c r="D44" s="5">
        <v>0</v>
      </c>
      <c r="E44" s="5" t="s">
        <v>104</v>
      </c>
      <c r="F44" s="5">
        <v>2</v>
      </c>
      <c r="G44" s="5">
        <v>6</v>
      </c>
    </row>
    <row r="45" ht="22.5" customHeight="1" spans="2:8">
      <c r="B45" s="7" t="s">
        <v>111</v>
      </c>
      <c r="C45" s="8" t="s">
        <v>110</v>
      </c>
      <c r="D45" s="5">
        <v>0</v>
      </c>
      <c r="E45" s="5" t="s">
        <v>104</v>
      </c>
      <c r="F45" s="5">
        <v>2</v>
      </c>
      <c r="G45" s="5">
        <v>7</v>
      </c>
    </row>
    <row r="46" ht="22.5" customHeight="1" spans="2:8">
      <c r="B46" s="7" t="s">
        <v>112</v>
      </c>
      <c r="C46" s="8" t="s">
        <v>110</v>
      </c>
      <c r="D46" s="5">
        <v>0</v>
      </c>
      <c r="E46" s="5" t="s">
        <v>104</v>
      </c>
      <c r="F46" s="5">
        <v>2</v>
      </c>
      <c r="G46" s="5">
        <v>8</v>
      </c>
    </row>
    <row r="47" ht="22.5" customHeight="1" spans="2:8">
      <c r="B47" s="7" t="s">
        <v>113</v>
      </c>
      <c r="C47" s="8" t="s">
        <v>110</v>
      </c>
      <c r="D47" s="5">
        <v>0</v>
      </c>
      <c r="E47" s="5" t="s">
        <v>104</v>
      </c>
      <c r="F47" s="5">
        <v>2</v>
      </c>
      <c r="G47" s="5">
        <v>9</v>
      </c>
    </row>
    <row r="48" ht="22.5" customHeight="1" spans="2:8">
      <c r="B48" s="7" t="s">
        <v>114</v>
      </c>
      <c r="C48" s="8" t="s">
        <v>110</v>
      </c>
      <c r="D48" s="5">
        <v>0</v>
      </c>
      <c r="E48" s="5" t="s">
        <v>104</v>
      </c>
      <c r="F48" s="5">
        <v>2</v>
      </c>
      <c r="G48" s="5">
        <v>10</v>
      </c>
    </row>
    <row r="49" ht="22.5" customHeight="1" spans="1:26">
      <c r="B49" s="7" t="s">
        <v>115</v>
      </c>
      <c r="C49" s="8" t="s">
        <v>110</v>
      </c>
      <c r="D49" s="5">
        <v>0</v>
      </c>
      <c r="E49" s="5" t="s">
        <v>104</v>
      </c>
      <c r="F49" s="5">
        <v>2</v>
      </c>
      <c r="G49" s="5">
        <v>11</v>
      </c>
    </row>
    <row r="50" ht="22.5" customHeight="1" spans="1:26">
      <c r="B50" s="7" t="s">
        <v>116</v>
      </c>
      <c r="C50" s="8" t="s">
        <v>110</v>
      </c>
      <c r="D50" s="5">
        <v>0</v>
      </c>
      <c r="E50" s="5" t="s">
        <v>104</v>
      </c>
      <c r="F50" s="5">
        <v>2</v>
      </c>
      <c r="G50" s="5">
        <v>12</v>
      </c>
    </row>
    <row r="51" ht="22.5" customHeight="1" spans="1:26">
      <c r="B51" s="7" t="s">
        <v>117</v>
      </c>
      <c r="C51" s="8" t="s">
        <v>110</v>
      </c>
      <c r="D51" s="5">
        <v>0</v>
      </c>
      <c r="E51" s="5" t="s">
        <v>104</v>
      </c>
      <c r="F51" s="5">
        <v>2</v>
      </c>
      <c r="G51" s="5">
        <v>13</v>
      </c>
    </row>
    <row r="52" ht="22.5" customHeight="1" spans="1:26">
      <c r="B52" s="7" t="s">
        <v>118</v>
      </c>
      <c r="C52" s="8" t="s">
        <v>110</v>
      </c>
      <c r="D52" s="5">
        <v>0</v>
      </c>
      <c r="E52" s="5" t="s">
        <v>104</v>
      </c>
      <c r="F52" s="5">
        <v>2</v>
      </c>
      <c r="G52" s="5">
        <v>14</v>
      </c>
    </row>
    <row r="53" ht="22.5" customHeight="1" spans="1:26">
      <c r="B53" s="7" t="s">
        <v>119</v>
      </c>
      <c r="C53" s="8" t="s">
        <v>110</v>
      </c>
      <c r="D53" s="5">
        <v>0</v>
      </c>
      <c r="E53" s="5" t="s">
        <v>104</v>
      </c>
      <c r="F53" s="5">
        <v>2</v>
      </c>
      <c r="G53" s="5">
        <v>15</v>
      </c>
    </row>
    <row r="54" ht="22.5" customHeight="1" spans="1:26">
      <c r="B54" s="7" t="s">
        <v>120</v>
      </c>
      <c r="C54" s="8" t="s">
        <v>110</v>
      </c>
      <c r="D54" s="5">
        <v>0</v>
      </c>
      <c r="E54" s="5" t="s">
        <v>104</v>
      </c>
      <c r="F54" s="5">
        <v>2</v>
      </c>
      <c r="G54" s="5">
        <v>16</v>
      </c>
    </row>
    <row r="55" ht="22.5" customHeight="1" spans="1:26">
      <c r="B55" s="7" t="s">
        <v>121</v>
      </c>
      <c r="C55" s="8" t="s">
        <v>110</v>
      </c>
      <c r="D55" s="5">
        <v>0</v>
      </c>
      <c r="E55" s="5" t="s">
        <v>104</v>
      </c>
      <c r="F55" s="5">
        <v>2</v>
      </c>
      <c r="G55" s="5">
        <v>17</v>
      </c>
    </row>
    <row r="56" ht="22.5" customHeight="1" spans="1:26">
      <c r="B56" s="7" t="s">
        <v>122</v>
      </c>
      <c r="C56" s="8">
        <v>200.1</v>
      </c>
      <c r="D56" s="5">
        <v>0</v>
      </c>
      <c r="E56" s="5" t="s">
        <v>5</v>
      </c>
      <c r="F56" s="5">
        <v>2</v>
      </c>
      <c r="G56" s="5">
        <v>1</v>
      </c>
    </row>
    <row r="57" ht="22.5" customHeight="1" spans="1:26">
      <c r="B57" s="7" t="s">
        <v>123</v>
      </c>
      <c r="C57" s="8">
        <v>200.1</v>
      </c>
      <c r="D57" s="5">
        <v>0</v>
      </c>
      <c r="E57" s="5" t="s">
        <v>5</v>
      </c>
      <c r="F57" s="5">
        <v>2</v>
      </c>
      <c r="G57" s="5">
        <v>2</v>
      </c>
    </row>
    <row r="58" ht="22.5" customHeight="1" spans="1:26">
      <c r="A58" s="10"/>
      <c r="B58" s="11" t="s">
        <v>124</v>
      </c>
      <c r="C58" s="8">
        <v>201.4</v>
      </c>
      <c r="D58" s="12">
        <v>0</v>
      </c>
      <c r="E58" s="12" t="s">
        <v>5</v>
      </c>
      <c r="F58" s="12">
        <v>2</v>
      </c>
      <c r="G58" s="12">
        <v>3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22.5" customHeight="1" spans="1:26">
      <c r="A59" s="10"/>
      <c r="B59" s="11" t="s">
        <v>125</v>
      </c>
      <c r="C59" s="8">
        <v>201.4</v>
      </c>
      <c r="D59" s="12">
        <v>0</v>
      </c>
      <c r="E59" s="12" t="s">
        <v>5</v>
      </c>
      <c r="F59" s="12">
        <v>2</v>
      </c>
      <c r="G59" s="12">
        <v>4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22.5" customHeight="1" spans="1:26">
      <c r="A60" s="10"/>
      <c r="B60" s="11" t="s">
        <v>126</v>
      </c>
      <c r="C60" s="8">
        <v>201.4</v>
      </c>
      <c r="D60" s="12">
        <v>0</v>
      </c>
      <c r="E60" s="12" t="s">
        <v>5</v>
      </c>
      <c r="F60" s="12">
        <v>2</v>
      </c>
      <c r="G60" s="12">
        <v>5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22.5" customHeight="1" spans="1:26">
      <c r="A61" s="10"/>
      <c r="B61" s="11" t="s">
        <v>127</v>
      </c>
      <c r="C61" s="13" t="s">
        <v>110</v>
      </c>
      <c r="D61" s="12">
        <v>0</v>
      </c>
      <c r="E61" s="12" t="s">
        <v>5</v>
      </c>
      <c r="F61" s="12">
        <v>2</v>
      </c>
      <c r="G61" s="12">
        <v>6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22.5" customHeight="1" spans="1:26">
      <c r="A62" s="10"/>
      <c r="B62" s="11" t="s">
        <v>128</v>
      </c>
      <c r="C62" s="13" t="s">
        <v>110</v>
      </c>
      <c r="D62" s="12">
        <v>0</v>
      </c>
      <c r="E62" s="12" t="s">
        <v>5</v>
      </c>
      <c r="F62" s="12">
        <v>2</v>
      </c>
      <c r="G62" s="12">
        <v>7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22.5" customHeight="1" spans="1:26">
      <c r="A63" s="10"/>
      <c r="B63" s="11" t="s">
        <v>129</v>
      </c>
      <c r="C63" s="13" t="s">
        <v>110</v>
      </c>
      <c r="D63" s="12">
        <v>0</v>
      </c>
      <c r="E63" s="12" t="s">
        <v>5</v>
      </c>
      <c r="F63" s="12">
        <v>2</v>
      </c>
      <c r="G63" s="12">
        <v>8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22.5" customHeight="1" spans="1:26">
      <c r="A64" s="10"/>
      <c r="B64" s="11" t="s">
        <v>130</v>
      </c>
      <c r="C64" s="13" t="s">
        <v>110</v>
      </c>
      <c r="D64" s="12">
        <v>0</v>
      </c>
      <c r="E64" s="12" t="s">
        <v>5</v>
      </c>
      <c r="F64" s="12">
        <v>2</v>
      </c>
      <c r="G64" s="12">
        <v>9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22.5" customHeight="1" spans="1:26">
      <c r="A65" s="10"/>
      <c r="B65" s="11" t="s">
        <v>131</v>
      </c>
      <c r="C65" s="13" t="s">
        <v>110</v>
      </c>
      <c r="D65" s="12">
        <v>0</v>
      </c>
      <c r="E65" s="12" t="s">
        <v>5</v>
      </c>
      <c r="F65" s="12">
        <v>2</v>
      </c>
      <c r="G65" s="12">
        <v>10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22.5" customHeight="1" spans="1:26">
      <c r="A66" s="10"/>
      <c r="B66" s="11" t="s">
        <v>132</v>
      </c>
      <c r="C66" s="13" t="s">
        <v>110</v>
      </c>
      <c r="D66" s="12">
        <v>0</v>
      </c>
      <c r="E66" s="12" t="s">
        <v>5</v>
      </c>
      <c r="F66" s="12">
        <v>2</v>
      </c>
      <c r="G66" s="12">
        <v>11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22.5" customHeight="1" spans="1:26">
      <c r="A67" s="10"/>
      <c r="B67" s="11" t="s">
        <v>133</v>
      </c>
      <c r="C67" s="13" t="s">
        <v>110</v>
      </c>
      <c r="D67" s="12">
        <v>0</v>
      </c>
      <c r="E67" s="12" t="s">
        <v>5</v>
      </c>
      <c r="F67" s="12">
        <v>2</v>
      </c>
      <c r="G67" s="12">
        <v>12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22.5" customHeight="1" spans="1:26">
      <c r="A68" s="10"/>
      <c r="B68" s="11" t="s">
        <v>134</v>
      </c>
      <c r="C68" s="13" t="s">
        <v>110</v>
      </c>
      <c r="D68" s="12">
        <v>0</v>
      </c>
      <c r="E68" s="12" t="s">
        <v>5</v>
      </c>
      <c r="F68" s="12">
        <v>2</v>
      </c>
      <c r="G68" s="12">
        <v>13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22.5" customHeight="1" spans="1:26">
      <c r="A69" s="10"/>
      <c r="B69" s="11" t="s">
        <v>135</v>
      </c>
      <c r="C69" s="13" t="s">
        <v>110</v>
      </c>
      <c r="D69" s="12">
        <v>0</v>
      </c>
      <c r="E69" s="12" t="s">
        <v>5</v>
      </c>
      <c r="F69" s="12">
        <v>2</v>
      </c>
      <c r="G69" s="12">
        <v>14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22.5" customHeight="1" spans="1:26">
      <c r="A70" s="10"/>
      <c r="B70" s="11" t="s">
        <v>136</v>
      </c>
      <c r="C70" s="13" t="s">
        <v>110</v>
      </c>
      <c r="D70" s="12">
        <v>0</v>
      </c>
      <c r="E70" s="12" t="s">
        <v>5</v>
      </c>
      <c r="F70" s="12">
        <v>2</v>
      </c>
      <c r="G70" s="12">
        <v>15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22.5" customHeight="1" spans="1:26">
      <c r="A71" s="10"/>
      <c r="B71" s="11" t="s">
        <v>137</v>
      </c>
      <c r="C71" s="13" t="s">
        <v>110</v>
      </c>
      <c r="D71" s="12">
        <v>0</v>
      </c>
      <c r="E71" s="12" t="s">
        <v>5</v>
      </c>
      <c r="F71" s="12">
        <v>2</v>
      </c>
      <c r="G71" s="12">
        <v>16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22.5" customHeight="1" spans="1:26">
      <c r="A72" s="10"/>
      <c r="B72" s="11" t="s">
        <v>138</v>
      </c>
      <c r="C72" s="13" t="s">
        <v>110</v>
      </c>
      <c r="D72" s="12">
        <v>0</v>
      </c>
      <c r="E72" s="12" t="s">
        <v>5</v>
      </c>
      <c r="F72" s="12">
        <v>2</v>
      </c>
      <c r="G72" s="12">
        <v>17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22.5" customHeight="1" spans="1:26">
      <c r="B73" s="7" t="s">
        <v>139</v>
      </c>
      <c r="C73" s="8">
        <v>505.5</v>
      </c>
      <c r="D73" s="5">
        <v>1</v>
      </c>
      <c r="E73" s="5" t="s">
        <v>5</v>
      </c>
      <c r="F73" s="5">
        <v>2</v>
      </c>
      <c r="G73" s="5">
        <v>1</v>
      </c>
    </row>
    <row r="74" ht="22.5" customHeight="1" spans="1:26">
      <c r="B74" s="14" t="s">
        <v>140</v>
      </c>
      <c r="C74" s="15">
        <v>502.7</v>
      </c>
      <c r="D74" s="16">
        <v>1</v>
      </c>
      <c r="E74" s="16" t="s">
        <v>5</v>
      </c>
      <c r="F74" s="16">
        <v>2</v>
      </c>
      <c r="G74" s="16">
        <v>2</v>
      </c>
    </row>
    <row r="75" ht="22.5" customHeight="1" spans="1:26">
      <c r="B75" s="7" t="s">
        <v>141</v>
      </c>
      <c r="C75" s="8" t="s">
        <v>110</v>
      </c>
      <c r="D75" s="5">
        <v>1</v>
      </c>
      <c r="E75" s="5" t="s">
        <v>5</v>
      </c>
      <c r="F75" s="5">
        <v>2</v>
      </c>
      <c r="G75" s="5">
        <v>3</v>
      </c>
    </row>
    <row r="76" ht="22.5" customHeight="1" spans="1:26">
      <c r="B76" s="7" t="s">
        <v>142</v>
      </c>
      <c r="C76" s="8" t="s">
        <v>110</v>
      </c>
      <c r="D76" s="5">
        <v>1</v>
      </c>
      <c r="E76" s="5" t="s">
        <v>5</v>
      </c>
      <c r="F76" s="5">
        <v>2</v>
      </c>
      <c r="G76" s="5">
        <v>4</v>
      </c>
    </row>
    <row r="77" ht="22.5" customHeight="1" spans="1:26">
      <c r="B77" s="7" t="s">
        <v>143</v>
      </c>
      <c r="C77" s="8" t="s">
        <v>110</v>
      </c>
      <c r="D77" s="5">
        <v>1</v>
      </c>
      <c r="E77" s="5" t="s">
        <v>5</v>
      </c>
      <c r="F77" s="5">
        <v>2</v>
      </c>
      <c r="G77" s="5">
        <v>5</v>
      </c>
    </row>
    <row r="78" ht="22.5" customHeight="1" spans="1:26">
      <c r="B78" s="7" t="s">
        <v>144</v>
      </c>
      <c r="C78" s="8" t="s">
        <v>110</v>
      </c>
      <c r="D78" s="5">
        <v>1</v>
      </c>
      <c r="E78" s="5" t="s">
        <v>5</v>
      </c>
      <c r="F78" s="5">
        <v>2</v>
      </c>
      <c r="G78" s="5">
        <v>6</v>
      </c>
    </row>
    <row r="79" ht="22.5" customHeight="1" spans="1:26">
      <c r="B79" s="7" t="s">
        <v>145</v>
      </c>
      <c r="C79" s="8" t="s">
        <v>110</v>
      </c>
      <c r="D79" s="5">
        <v>1</v>
      </c>
      <c r="E79" s="5" t="s">
        <v>5</v>
      </c>
      <c r="F79" s="5">
        <v>2</v>
      </c>
      <c r="G79" s="5">
        <v>7</v>
      </c>
    </row>
    <row r="80" ht="22.5" customHeight="1" spans="1:26">
      <c r="B80" s="7" t="s">
        <v>146</v>
      </c>
      <c r="C80" s="8" t="s">
        <v>110</v>
      </c>
      <c r="D80" s="5">
        <v>1</v>
      </c>
      <c r="E80" s="5" t="s">
        <v>5</v>
      </c>
      <c r="F80" s="5">
        <v>2</v>
      </c>
      <c r="G80" s="5">
        <v>8</v>
      </c>
    </row>
    <row r="81" ht="22.5" customHeight="1" spans="2:7">
      <c r="B81" s="7" t="s">
        <v>147</v>
      </c>
      <c r="C81" s="8" t="s">
        <v>110</v>
      </c>
      <c r="D81" s="5">
        <v>1</v>
      </c>
      <c r="E81" s="5" t="s">
        <v>5</v>
      </c>
      <c r="F81" s="5">
        <v>2</v>
      </c>
      <c r="G81" s="5">
        <v>9</v>
      </c>
    </row>
    <row r="82" ht="22.5" customHeight="1" spans="2:7">
      <c r="B82" s="7" t="s">
        <v>148</v>
      </c>
      <c r="C82" s="8" t="s">
        <v>110</v>
      </c>
      <c r="D82" s="5">
        <v>1</v>
      </c>
      <c r="E82" s="5" t="s">
        <v>5</v>
      </c>
      <c r="F82" s="5">
        <v>2</v>
      </c>
      <c r="G82" s="5">
        <v>10</v>
      </c>
    </row>
  </sheetData>
  <dataValidations count="1">
    <dataValidation allowBlank="1" sqref="C3:C18"/>
  </dataValidations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0"/>
  <sheetViews>
    <sheetView workbookViewId="0">
      <selection activeCell="A1" sqref="A1"/>
    </sheetView>
  </sheetViews>
  <sheetFormatPr defaultColWidth="12.6285714285714" defaultRowHeight="15.75" customHeight="1" outlineLevelCol="3"/>
  <cols>
    <col min="3" max="3" width="18" customWidth="1"/>
    <col min="4" max="4" width="22.752380952381" customWidth="1"/>
  </cols>
  <sheetData>
    <row r="1" customHeight="1" spans="1:4">
      <c r="A1" s="1" t="s">
        <v>149</v>
      </c>
      <c r="B1" s="1" t="s">
        <v>150</v>
      </c>
      <c r="C1" s="1" t="s">
        <v>151</v>
      </c>
      <c r="D1" s="1" t="s">
        <v>152</v>
      </c>
    </row>
    <row r="2" customHeight="1" spans="1:4">
      <c r="A2" s="2">
        <v>1182676</v>
      </c>
      <c r="B2" s="1" t="s">
        <v>153</v>
      </c>
      <c r="C2" s="1" t="b">
        <v>0</v>
      </c>
      <c r="D2" s="1" t="s">
        <v>154</v>
      </c>
    </row>
    <row r="3" customHeight="1" spans="1:4">
      <c r="A3" s="2">
        <v>1104061</v>
      </c>
      <c r="B3" s="1" t="s">
        <v>153</v>
      </c>
      <c r="C3" s="3" t="b">
        <v>0</v>
      </c>
      <c r="D3" s="1" t="s">
        <v>154</v>
      </c>
    </row>
    <row r="4" customHeight="1" spans="1:4">
      <c r="A4" s="2">
        <v>1181384</v>
      </c>
      <c r="B4" s="1" t="s">
        <v>155</v>
      </c>
      <c r="C4" s="1" t="b">
        <v>1</v>
      </c>
    </row>
    <row r="5" customHeight="1" spans="1:4">
      <c r="A5" s="2">
        <v>1184344</v>
      </c>
      <c r="B5" s="1" t="s">
        <v>156</v>
      </c>
      <c r="C5" s="1" t="b">
        <v>1</v>
      </c>
    </row>
    <row r="6" customHeight="1" spans="1:4">
      <c r="A6" s="2">
        <v>1206953</v>
      </c>
      <c r="B6" s="1" t="s">
        <v>157</v>
      </c>
      <c r="C6" s="1" t="b">
        <v>1</v>
      </c>
    </row>
    <row r="7" customHeight="1" spans="1:4">
      <c r="A7" s="2">
        <v>1184778</v>
      </c>
      <c r="B7" s="1" t="s">
        <v>158</v>
      </c>
      <c r="C7" s="1" t="b">
        <v>1</v>
      </c>
    </row>
    <row r="8" customHeight="1" spans="1:4">
      <c r="A8" s="2">
        <v>1184344</v>
      </c>
      <c r="B8" s="1" t="s">
        <v>157</v>
      </c>
      <c r="C8" s="1" t="b">
        <v>1</v>
      </c>
    </row>
    <row r="9" customHeight="1" spans="1:4">
      <c r="A9" s="2">
        <v>1184344</v>
      </c>
      <c r="B9" s="1" t="s">
        <v>157</v>
      </c>
      <c r="C9" s="1" t="b">
        <v>1</v>
      </c>
    </row>
    <row r="10" customHeight="1" spans="1:4">
      <c r="A10" s="2">
        <v>1184344</v>
      </c>
      <c r="B10" s="1" t="s">
        <v>157</v>
      </c>
      <c r="C10" s="1" t="b">
        <v>1</v>
      </c>
    </row>
    <row r="11" customHeight="1" spans="1:4">
      <c r="A11" s="2">
        <v>1208494</v>
      </c>
      <c r="B11" s="1" t="s">
        <v>153</v>
      </c>
      <c r="C11" s="1" t="b">
        <v>0</v>
      </c>
      <c r="D11" s="1" t="s">
        <v>154</v>
      </c>
    </row>
    <row r="12" customHeight="1" spans="1:4">
      <c r="C12" s="1" t="b">
        <v>0</v>
      </c>
    </row>
    <row r="13" customHeight="1" spans="1:4">
      <c r="C13" s="3" t="b">
        <v>0</v>
      </c>
    </row>
    <row r="14" customHeight="1" spans="1:4">
      <c r="C14" s="3" t="b">
        <v>0</v>
      </c>
    </row>
    <row r="15" customHeight="1" spans="1:4">
      <c r="C15" s="3" t="b">
        <v>0</v>
      </c>
    </row>
    <row r="16" customHeight="1" spans="1:4">
      <c r="C16" s="3" t="b">
        <v>0</v>
      </c>
    </row>
    <row r="17" customHeight="1" spans="3:3">
      <c r="C17" s="3" t="b">
        <v>0</v>
      </c>
    </row>
    <row r="18" customHeight="1" spans="3:3">
      <c r="C18" s="3" t="b">
        <v>0</v>
      </c>
    </row>
    <row r="19" customHeight="1" spans="3:3">
      <c r="C19" s="3" t="b">
        <v>0</v>
      </c>
    </row>
    <row r="20" customHeight="1" spans="3:3">
      <c r="C20" s="3" t="b">
        <v>0</v>
      </c>
    </row>
    <row r="21" customHeight="1" spans="3:3">
      <c r="C21" s="3" t="b">
        <v>0</v>
      </c>
    </row>
    <row r="22" customHeight="1" spans="3:3">
      <c r="C22" s="3" t="b">
        <v>0</v>
      </c>
    </row>
    <row r="23" customHeight="1" spans="3:3">
      <c r="C23" s="3" t="b">
        <v>0</v>
      </c>
    </row>
    <row r="24" customHeight="1" spans="3:3">
      <c r="C24" s="3" t="b">
        <v>0</v>
      </c>
    </row>
    <row r="25" customHeight="1" spans="3:3">
      <c r="C25" s="3" t="b">
        <v>0</v>
      </c>
    </row>
    <row r="26" customHeight="1" spans="3:3">
      <c r="C26" s="3" t="b">
        <v>0</v>
      </c>
    </row>
    <row r="27" customHeight="1" spans="3:3">
      <c r="C27" s="3" t="b">
        <v>0</v>
      </c>
    </row>
    <row r="28" customHeight="1" spans="3:3">
      <c r="C28" s="3" t="b">
        <v>0</v>
      </c>
    </row>
    <row r="29" customHeight="1" spans="3:3">
      <c r="C29" s="3" t="b">
        <v>0</v>
      </c>
    </row>
    <row r="30" customHeight="1" spans="3:3">
      <c r="C30" s="3" t="b">
        <v>0</v>
      </c>
    </row>
    <row r="31" customHeight="1" spans="3:3">
      <c r="C31" s="3" t="b">
        <v>0</v>
      </c>
    </row>
    <row r="32" customHeight="1" spans="3:3">
      <c r="C32" s="3" t="b">
        <v>0</v>
      </c>
    </row>
    <row r="33" customHeight="1" spans="3:3">
      <c r="C33" s="3" t="b">
        <v>0</v>
      </c>
    </row>
    <row r="34" customHeight="1" spans="3:3">
      <c r="C34" s="3" t="b">
        <v>0</v>
      </c>
    </row>
    <row r="35" customHeight="1" spans="3:3">
      <c r="C35" s="3" t="b">
        <v>0</v>
      </c>
    </row>
    <row r="36" customHeight="1" spans="3:3">
      <c r="C36" s="3" t="b">
        <v>0</v>
      </c>
    </row>
    <row r="37" customHeight="1" spans="3:3">
      <c r="C37" s="3" t="b">
        <v>0</v>
      </c>
    </row>
    <row r="38" customHeight="1" spans="3:3">
      <c r="C38" s="3" t="b">
        <v>0</v>
      </c>
    </row>
    <row r="39" customHeight="1" spans="3:3">
      <c r="C39" s="3" t="b">
        <v>0</v>
      </c>
    </row>
    <row r="40" customHeight="1" spans="3:3">
      <c r="C40" s="3" t="b">
        <v>0</v>
      </c>
    </row>
    <row r="41" customHeight="1" spans="3:3">
      <c r="C41" s="3" t="b">
        <v>0</v>
      </c>
    </row>
    <row r="42" customHeight="1" spans="3:3">
      <c r="C42" s="3" t="b">
        <v>0</v>
      </c>
    </row>
    <row r="43" customHeight="1" spans="3:3">
      <c r="C43" s="3" t="b">
        <v>0</v>
      </c>
    </row>
    <row r="44" customHeight="1" spans="3:3">
      <c r="C44" s="3" t="b">
        <v>0</v>
      </c>
    </row>
    <row r="45" customHeight="1" spans="3:3">
      <c r="C45" s="3" t="b">
        <v>0</v>
      </c>
    </row>
    <row r="46" customHeight="1" spans="3:3">
      <c r="C46" s="3" t="b">
        <v>0</v>
      </c>
    </row>
    <row r="47" customHeight="1" spans="3:3">
      <c r="C47" s="3" t="b">
        <v>0</v>
      </c>
    </row>
    <row r="48" customHeight="1" spans="3:3">
      <c r="C48" s="3" t="b">
        <v>0</v>
      </c>
    </row>
    <row r="49" customHeight="1" spans="3:3">
      <c r="C49" s="3" t="b">
        <v>0</v>
      </c>
    </row>
    <row r="50" customHeight="1" spans="3:3">
      <c r="C50" s="3" t="b">
        <v>0</v>
      </c>
    </row>
    <row r="51" customHeight="1" spans="3:3">
      <c r="C51" s="3" t="b">
        <v>0</v>
      </c>
    </row>
    <row r="52" customHeight="1" spans="3:3">
      <c r="C52" s="3" t="b">
        <v>0</v>
      </c>
    </row>
    <row r="53" customHeight="1" spans="3:3">
      <c r="C53" s="3" t="b">
        <v>0</v>
      </c>
    </row>
    <row r="54" customHeight="1" spans="3:3">
      <c r="C54" s="3" t="b">
        <v>0</v>
      </c>
    </row>
    <row r="55" customHeight="1" spans="3:3">
      <c r="C55" s="3" t="b">
        <v>0</v>
      </c>
    </row>
    <row r="56" customHeight="1" spans="3:3">
      <c r="C56" s="3" t="b">
        <v>0</v>
      </c>
    </row>
    <row r="57" customHeight="1" spans="3:3">
      <c r="C57" s="3" t="b">
        <v>0</v>
      </c>
    </row>
    <row r="58" customHeight="1" spans="3:3">
      <c r="C58" s="3" t="b">
        <v>0</v>
      </c>
    </row>
    <row r="59" customHeight="1" spans="3:3">
      <c r="C59" s="3" t="b">
        <v>0</v>
      </c>
    </row>
    <row r="60" customHeight="1" spans="3:3">
      <c r="C60" s="3" t="b">
        <v>0</v>
      </c>
    </row>
    <row r="61" customHeight="1" spans="3:3">
      <c r="C61" s="3" t="b">
        <v>0</v>
      </c>
    </row>
    <row r="62" customHeight="1" spans="3:3">
      <c r="C62" s="3" t="b">
        <v>0</v>
      </c>
    </row>
    <row r="63" customHeight="1" spans="3:3">
      <c r="C63" s="3" t="b">
        <v>0</v>
      </c>
    </row>
    <row r="64" customHeight="1" spans="3:3">
      <c r="C64" s="3" t="b">
        <v>0</v>
      </c>
    </row>
    <row r="65" customHeight="1" spans="3:3">
      <c r="C65" s="3" t="b">
        <v>0</v>
      </c>
    </row>
    <row r="66" customHeight="1" spans="3:3">
      <c r="C66" s="3" t="b">
        <v>0</v>
      </c>
    </row>
    <row r="67" customHeight="1" spans="3:3">
      <c r="C67" s="3" t="b">
        <v>0</v>
      </c>
    </row>
    <row r="68" customHeight="1" spans="3:3">
      <c r="C68" s="3" t="b">
        <v>0</v>
      </c>
    </row>
    <row r="69" customHeight="1" spans="3:3">
      <c r="C69" s="3" t="b">
        <v>0</v>
      </c>
    </row>
    <row r="70" customHeight="1" spans="3:3">
      <c r="C70" s="3" t="b">
        <v>0</v>
      </c>
    </row>
    <row r="71" customHeight="1" spans="3:3">
      <c r="C71" s="3" t="b">
        <v>0</v>
      </c>
    </row>
    <row r="72" customHeight="1" spans="3:3">
      <c r="C72" s="3" t="b">
        <v>0</v>
      </c>
    </row>
    <row r="73" customHeight="1" spans="3:3">
      <c r="C73" s="3" t="b">
        <v>0</v>
      </c>
    </row>
    <row r="74" customHeight="1" spans="3:3">
      <c r="C74" s="3" t="b">
        <v>0</v>
      </c>
    </row>
    <row r="75" customHeight="1" spans="3:3">
      <c r="C75" s="3" t="b">
        <v>0</v>
      </c>
    </row>
    <row r="76" customHeight="1" spans="3:3">
      <c r="C76" s="3" t="b">
        <v>0</v>
      </c>
    </row>
    <row r="77" customHeight="1" spans="3:3">
      <c r="C77" s="3" t="b">
        <v>0</v>
      </c>
    </row>
    <row r="78" customHeight="1" spans="3:3">
      <c r="C78" s="3" t="b">
        <v>0</v>
      </c>
    </row>
    <row r="79" customHeight="1" spans="3:3">
      <c r="C79" s="3" t="b">
        <v>0</v>
      </c>
    </row>
    <row r="80" customHeight="1" spans="3:3">
      <c r="C80" s="3" t="b">
        <v>0</v>
      </c>
    </row>
    <row r="81" customHeight="1" spans="3:3">
      <c r="C81" s="3" t="b">
        <v>0</v>
      </c>
    </row>
    <row r="82" customHeight="1" spans="3:3">
      <c r="C82" s="3" t="b">
        <v>0</v>
      </c>
    </row>
    <row r="83" customHeight="1" spans="3:3">
      <c r="C83" s="3" t="b">
        <v>0</v>
      </c>
    </row>
    <row r="84" customHeight="1" spans="3:3">
      <c r="C84" s="3" t="b">
        <v>0</v>
      </c>
    </row>
    <row r="85" customHeight="1" spans="3:3">
      <c r="C85" s="3" t="b">
        <v>0</v>
      </c>
    </row>
    <row r="86" customHeight="1" spans="3:3">
      <c r="C86" s="3" t="b">
        <v>0</v>
      </c>
    </row>
    <row r="87" customHeight="1" spans="3:3">
      <c r="C87" s="3" t="b">
        <v>0</v>
      </c>
    </row>
    <row r="88" customHeight="1" spans="3:3">
      <c r="C88" s="3" t="b">
        <v>0</v>
      </c>
    </row>
    <row r="89" customHeight="1" spans="3:3">
      <c r="C89" s="3" t="b">
        <v>0</v>
      </c>
    </row>
    <row r="90" customHeight="1" spans="3:3">
      <c r="C90" s="3" t="b">
        <v>0</v>
      </c>
    </row>
    <row r="91" customHeight="1" spans="3:3">
      <c r="C91" s="3" t="b">
        <v>0</v>
      </c>
    </row>
    <row r="92" customHeight="1" spans="3:3">
      <c r="C92" s="3" t="b">
        <v>0</v>
      </c>
    </row>
    <row r="93" customHeight="1" spans="3:3">
      <c r="C93" s="3" t="b">
        <v>0</v>
      </c>
    </row>
    <row r="94" customHeight="1" spans="3:3">
      <c r="C94" s="3" t="b">
        <v>0</v>
      </c>
    </row>
    <row r="95" customHeight="1" spans="3:3">
      <c r="C95" s="3" t="b">
        <v>0</v>
      </c>
    </row>
    <row r="96" customHeight="1" spans="3:3">
      <c r="C96" s="3" t="b">
        <v>0</v>
      </c>
    </row>
    <row r="97" customHeight="1" spans="3:3">
      <c r="C97" s="3" t="b">
        <v>0</v>
      </c>
    </row>
    <row r="98" customHeight="1" spans="3:3">
      <c r="C98" s="3" t="b">
        <v>0</v>
      </c>
    </row>
    <row r="99" customHeight="1" spans="3:3">
      <c r="C99" s="3" t="b">
        <v>0</v>
      </c>
    </row>
    <row r="100" customHeight="1" spans="3:3">
      <c r="C100" s="3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Исходные данные</vt:lpstr>
      <vt:lpstr>Лист подбора</vt:lpstr>
      <vt:lpstr>Подбор</vt:lpstr>
      <vt:lpstr>диапазоны</vt:lpstr>
      <vt:lpstr>Статистика применения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Dmitry Arkhipov</cp:lastModifiedBy>
  <dcterms:created xsi:type="dcterms:W3CDTF">2026-09-03T16:42:00Z</dcterms:created>
  <dcterms:modified xsi:type="dcterms:W3CDTF">2026-09-08T11:36:18Z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F8124B48703A49E19C19EF85986DF014_12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